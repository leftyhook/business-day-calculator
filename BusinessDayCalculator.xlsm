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tables/table3.xml" ContentType="application/vnd.openxmlformats-officedocument.spreadsheetml.table+xml"/>
  <Override PartName="/xl/comments2.xml" ContentType="application/vnd.openxmlformats-officedocument.spreadsheetml.comments+xml"/>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tables/table4.xml" ContentType="application/vnd.openxmlformats-officedocument.spreadsheetml.table+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 defaultThemeVersion="124226"/>
  <mc:AlternateContent xmlns:mc="http://schemas.openxmlformats.org/markup-compatibility/2006">
    <mc:Choice Requires="x15">
      <x15ac:absPath xmlns:x15ac="http://schemas.microsoft.com/office/spreadsheetml/2010/11/ac" url="C:\Users\argue\source\repos\BusinessDayCalculator\"/>
    </mc:Choice>
  </mc:AlternateContent>
  <xr:revisionPtr revIDLastSave="0" documentId="13_ncr:1_{6B103391-DA4A-4637-9182-AC5004D210DD}" xr6:coauthVersionLast="47" xr6:coauthVersionMax="47" xr10:uidLastSave="{00000000-0000-0000-0000-000000000000}"/>
  <bookViews>
    <workbookView xWindow="3030" yWindow="1410" windowWidth="23250" windowHeight="13485" activeTab="1" xr2:uid="{00000000-000D-0000-FFFF-FFFF00000000}"/>
  </bookViews>
  <sheets>
    <sheet name="About" sheetId="5" r:id="rId1"/>
    <sheet name="Calculator" sheetId="1" r:id="rId2"/>
    <sheet name="US" sheetId="6" r:id="rId3"/>
    <sheet name="Holidays" sheetId="4" state="hidden" r:id="rId4"/>
  </sheets>
  <functionGroups builtInGroupCount="19"/>
  <externalReferences>
    <externalReference r:id="rId5"/>
  </externalReferences>
  <definedNames>
    <definedName name="BusinessDayConv">Calculator!$G$7</definedName>
    <definedName name="ConventionSymbols" localSheetId="1">Table1[Symbol]</definedName>
    <definedName name="HolidayCalStart" localSheetId="3">Holidays!$L$8</definedName>
    <definedName name="HolidayCalStart" localSheetId="2">US!$L$8</definedName>
    <definedName name="HolidayDefStart" localSheetId="3">Holidays!$C$4</definedName>
    <definedName name="HolidayDefStart" localSheetId="2">US!$C$4</definedName>
    <definedName name="HolidaySheet">Calculator!$G$8</definedName>
    <definedName name="HolidaySheetStatus">Calculator!$C$7</definedName>
    <definedName name="HolScheduleSheets" localSheetId="2">tblHolidayScheduleSheets[Holiday Schedule Sheets]</definedName>
    <definedName name="HolScheduleSheets">tblHolidayScheduleSheets[Holiday Schedule Sheets]</definedName>
    <definedName name="MaxHolidayYear" localSheetId="3">Holidays!$M$4</definedName>
    <definedName name="MaxHolidayYear" localSheetId="2">US!$M$4</definedName>
    <definedName name="RefDate">Calculator!$G$6</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7" i="1" l="1" a="1"/>
  <c r="C7" i="1"/>
  <c r="G19" i="1" a="1"/>
  <c r="G48" i="1" a="1"/>
  <c r="G17" i="1" a="1"/>
  <c r="G23" i="1" a="1"/>
  <c r="G21" i="1" a="1"/>
  <c r="G22" i="1" a="1"/>
  <c r="G35" i="1" a="1"/>
  <c r="G26" i="1" a="1"/>
  <c r="G11" i="1" a="1"/>
  <c r="G42" i="1" a="1"/>
  <c r="G30" i="1" a="1"/>
  <c r="G50" i="1" a="1"/>
  <c r="G15" i="1" a="1"/>
  <c r="G39" i="1" a="1"/>
  <c r="G34" i="1" a="1"/>
  <c r="G38" i="1" a="1"/>
  <c r="G46" i="1" a="1"/>
  <c r="G49" i="1" a="1"/>
  <c r="G32" i="1" a="1"/>
  <c r="G25" i="1" a="1"/>
  <c r="G18" i="1" a="1"/>
  <c r="G16" i="1" a="1"/>
  <c r="G33" i="1" a="1"/>
  <c r="G20" i="1" a="1"/>
  <c r="G29" i="1" a="1"/>
  <c r="G14" i="1" a="1"/>
  <c r="G44" i="1" a="1"/>
  <c r="G45" i="1" a="1"/>
  <c r="G37" i="1" a="1"/>
  <c r="G28" i="1" a="1"/>
  <c r="G13" i="1" a="1"/>
  <c r="G47" i="1" a="1"/>
  <c r="G24" i="1" a="1"/>
  <c r="G41" i="1" a="1"/>
  <c r="G40" i="1" a="1"/>
  <c r="G27" i="1" a="1"/>
  <c r="G36" i="1" a="1"/>
  <c r="G12" i="1" a="1"/>
  <c r="G43" i="1" a="1"/>
  <c r="G31" i="1" a="1"/>
  <c r="G31" i="1" l="1"/>
  <c r="G43" i="1"/>
  <c r="G12" i="1"/>
  <c r="G36" i="1"/>
  <c r="G27" i="1"/>
  <c r="G40" i="1"/>
  <c r="G41" i="1"/>
  <c r="G24" i="1"/>
  <c r="G47" i="1"/>
  <c r="G13" i="1"/>
  <c r="G28" i="1"/>
  <c r="G37" i="1"/>
  <c r="G45" i="1"/>
  <c r="G44" i="1"/>
  <c r="G14" i="1"/>
  <c r="G29" i="1"/>
  <c r="G20" i="1"/>
  <c r="G33" i="1"/>
  <c r="G16" i="1"/>
  <c r="G18" i="1"/>
  <c r="G25" i="1"/>
  <c r="G32" i="1"/>
  <c r="G49" i="1"/>
  <c r="G46" i="1"/>
  <c r="G38" i="1"/>
  <c r="G34" i="1"/>
  <c r="G39" i="1"/>
  <c r="G15" i="1"/>
  <c r="G50" i="1"/>
  <c r="G30" i="1"/>
  <c r="G42" i="1"/>
  <c r="G11" i="1"/>
  <c r="G26" i="1"/>
  <c r="G35" i="1"/>
  <c r="G22" i="1"/>
  <c r="G21" i="1"/>
  <c r="G23" i="1"/>
  <c r="G17" i="1"/>
  <c r="G48" i="1"/>
  <c r="G19" i="1"/>
  <c r="I38" i="1"/>
  <c r="I37" i="1"/>
  <c r="I43" i="1"/>
  <c r="I25" i="1"/>
  <c r="I18" i="1"/>
  <c r="I13" i="1"/>
  <c r="I12" i="1"/>
  <c r="I19" i="1"/>
  <c r="I30" i="1"/>
  <c r="H31" i="1" a="1"/>
  <c r="H27" i="1" a="1"/>
  <c r="H47" i="1" a="1"/>
  <c r="H45" i="1" a="1"/>
  <c r="H20" i="1" a="1"/>
  <c r="H18" i="1" a="1"/>
  <c r="H46" i="1" a="1"/>
  <c r="H15" i="1" a="1"/>
  <c r="H11" i="1" a="1"/>
  <c r="H21" i="1" a="1"/>
  <c r="H19" i="1" a="1"/>
  <c r="I26" i="1"/>
  <c r="I23" i="1"/>
  <c r="I27" i="1"/>
  <c r="I33" i="1"/>
  <c r="I16" i="1"/>
  <c r="I40" i="1"/>
  <c r="I21" i="1"/>
  <c r="I17" i="1"/>
  <c r="H43" i="1" a="1"/>
  <c r="H40" i="1" a="1"/>
  <c r="H13" i="1" a="1"/>
  <c r="H44" i="1" a="1"/>
  <c r="H33" i="1" a="1"/>
  <c r="H25" i="1" a="1"/>
  <c r="H38" i="1" a="1"/>
  <c r="H50" i="1" a="1"/>
  <c r="H26" i="1" a="1"/>
  <c r="H23" i="1" a="1"/>
  <c r="I45" i="1"/>
  <c r="I20" i="1"/>
  <c r="I44" i="1"/>
  <c r="I34" i="1"/>
  <c r="I41" i="1"/>
  <c r="I11" i="1"/>
  <c r="H29" i="1" a="1"/>
  <c r="I50" i="1"/>
  <c r="I42" i="1"/>
  <c r="H12" i="1" a="1"/>
  <c r="H41" i="1" a="1"/>
  <c r="H28" i="1" a="1"/>
  <c r="H14" i="1" a="1"/>
  <c r="H16" i="1" a="1"/>
  <c r="H32" i="1" a="1"/>
  <c r="H34" i="1" a="1"/>
  <c r="H30" i="1" a="1"/>
  <c r="H35" i="1" a="1"/>
  <c r="H17" i="1" a="1"/>
  <c r="I31" i="1"/>
  <c r="I35" i="1"/>
  <c r="I46" i="1"/>
  <c r="I15" i="1"/>
  <c r="H36" i="1" a="1"/>
  <c r="H24" i="1" a="1"/>
  <c r="H37" i="1" a="1"/>
  <c r="H49" i="1" a="1"/>
  <c r="H39" i="1" a="1"/>
  <c r="H42" i="1" a="1"/>
  <c r="H22" i="1" a="1"/>
  <c r="H48" i="1" a="1"/>
  <c r="I14" i="1"/>
  <c r="I47" i="1"/>
  <c r="I28" i="1"/>
  <c r="H48" i="1" l="1"/>
  <c r="H22" i="1"/>
  <c r="H42" i="1"/>
  <c r="H39" i="1"/>
  <c r="H49" i="1"/>
  <c r="H37" i="1"/>
  <c r="H24" i="1"/>
  <c r="H36" i="1"/>
  <c r="H17" i="1"/>
  <c r="H35" i="1"/>
  <c r="H30" i="1"/>
  <c r="H34" i="1"/>
  <c r="H32" i="1"/>
  <c r="H16" i="1"/>
  <c r="H14" i="1"/>
  <c r="H28" i="1"/>
  <c r="H41" i="1"/>
  <c r="H12" i="1"/>
  <c r="H29" i="1"/>
  <c r="H23" i="1"/>
  <c r="H26" i="1"/>
  <c r="H50" i="1"/>
  <c r="H38" i="1"/>
  <c r="H25" i="1"/>
  <c r="H33" i="1"/>
  <c r="H44" i="1"/>
  <c r="H13" i="1"/>
  <c r="H40" i="1"/>
  <c r="H43" i="1"/>
  <c r="H19" i="1"/>
  <c r="H21" i="1"/>
  <c r="H11" i="1"/>
  <c r="H15" i="1"/>
  <c r="H46" i="1"/>
  <c r="H18" i="1"/>
  <c r="H20" i="1"/>
  <c r="H45" i="1"/>
  <c r="H47" i="1"/>
  <c r="H27" i="1"/>
  <c r="H31" i="1"/>
  <c r="I22" i="1"/>
  <c r="I48" i="1"/>
  <c r="I49" i="1"/>
  <c r="I32" i="1"/>
  <c r="I36" i="1"/>
  <c r="I39" i="1"/>
  <c r="I24" i="1"/>
  <c r="I29"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Jeff</author>
  </authors>
  <commentList>
    <comment ref="H10" authorId="0" shapeId="0" xr:uid="{00000000-0006-0000-0100-000001000000}">
      <text>
        <r>
          <rPr>
            <b/>
            <sz val="9"/>
            <color indexed="81"/>
            <rFont val="Tahoma"/>
            <family val="2"/>
          </rPr>
          <t>Jeff:</t>
        </r>
        <r>
          <rPr>
            <sz val="9"/>
            <color indexed="81"/>
            <rFont val="Tahoma"/>
            <family val="2"/>
          </rPr>
          <t xml:space="preserve">
This column contains conditional formatting that highlights cells whose values do not match the values in the cells to their left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Jeff</author>
  </authors>
  <commentList>
    <comment ref="A1" authorId="0" shapeId="0" xr:uid="{0DDC5D0D-A8C0-45D0-8821-66780EA02F96}">
      <text>
        <r>
          <rPr>
            <b/>
            <sz val="9"/>
            <color indexed="81"/>
            <rFont val="Tahoma"/>
            <family val="2"/>
          </rPr>
          <t>Jeff:</t>
        </r>
        <r>
          <rPr>
            <sz val="9"/>
            <color indexed="81"/>
            <rFont val="Tahoma"/>
            <family val="2"/>
          </rPr>
          <t xml:space="preserve">
DO NOT EDIT THIS CELL. This cell identifies the sheet as a holiday sheet.</t>
        </r>
      </text>
    </comment>
    <comment ref="C2" authorId="0" shapeId="0" xr:uid="{B00A3369-A674-4169-99A9-21DE6F4583C5}">
      <text>
        <r>
          <rPr>
            <b/>
            <sz val="9"/>
            <color indexed="81"/>
            <rFont val="Tahoma"/>
            <family val="2"/>
          </rPr>
          <t xml:space="preserve">Jeff:
</t>
        </r>
        <r>
          <rPr>
            <sz val="9"/>
            <color indexed="81"/>
            <rFont val="Tahoma"/>
            <family val="2"/>
          </rPr>
          <t>Holiday definitions can be loaded from a separate CSV file by clicking the "Load Holiday Definitions" button to the right, or entered manually in the table below.
A holiday date is defined as the Nth instance of a particular day unit (eg, "Day", or "Monday"), relative to a month or other date.  If the holiday can fall on a weekend, the definition should also include weekend logic which tells us if the holiday will be observed on the following Monday, the preceding Friday, or whichever weekday is closest to the holiday.
For example, Christmas Day would be defined by:
Instance = 25
Unit = Day
OfBeforeAfter = Of
Month = December
WeekendLogic = Closest
American Thanksgiving would be defined by:
Instance = 4
Unit = Thursday
OfBeforeAfter = Of
Month = November
Good Friday would be defined by either:
Instance = 2
Unit = Day
OfBeforeAfter = Before
Day = Easter Sunday
WeekendLogic = Closest
or
Unit = Friday
OfBeforeAfter = Before
Day = Easter Sunday
WeekendLogic = Closest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Jeff</author>
  </authors>
  <commentList>
    <comment ref="A1" authorId="0" shapeId="0" xr:uid="{00000000-0006-0000-0200-000001000000}">
      <text>
        <r>
          <rPr>
            <b/>
            <sz val="9"/>
            <color indexed="81"/>
            <rFont val="Tahoma"/>
            <family val="2"/>
          </rPr>
          <t>Jeff:</t>
        </r>
        <r>
          <rPr>
            <sz val="9"/>
            <color indexed="81"/>
            <rFont val="Tahoma"/>
            <family val="2"/>
          </rPr>
          <t xml:space="preserve">
DO NOT EDIT THIS CELL. This cell identifies the sheet as a holiday sheet.</t>
        </r>
      </text>
    </comment>
    <comment ref="C2" authorId="0" shapeId="0" xr:uid="{00000000-0006-0000-0200-000002000000}">
      <text>
        <r>
          <rPr>
            <b/>
            <sz val="9"/>
            <color indexed="81"/>
            <rFont val="Tahoma"/>
            <family val="2"/>
          </rPr>
          <t xml:space="preserve">Jeff:
</t>
        </r>
        <r>
          <rPr>
            <sz val="9"/>
            <color indexed="81"/>
            <rFont val="Tahoma"/>
            <family val="2"/>
          </rPr>
          <t>Holiday definitions can be loaded from a separate CSV file by clicking the "Load Holiday Definitions" button to the right, or entered manually in the table below.
A holiday date is defined as the Nth instance of a particular day entity (eg, "Day", or "Monday"), relative to a month or other date.  If the holiday can fall on a weekend, the definition should also include weekend logic which tells us if the holiday will be observed on the following Monday, the preceding Friday, or whichever weekday is closest to the holiday.
For example, Christmas would be defined by:
Instance = 25
InstanceOf = Day
RelativeTo = December
WeekendLogic = Closest
Thanksgiving would be defined by:
Instance = 4
InstanceOf = Thursday
RelativeTo = November</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<sst xmlns="http://schemas.openxmlformats.org/spreadsheetml/2006/main" count="412" uniqueCount="118">
  <si>
    <t>Name</t>
  </si>
  <si>
    <t>Business Day Conventions</t>
  </si>
  <si>
    <t>Following</t>
  </si>
  <si>
    <t>Symbol</t>
  </si>
  <si>
    <t>F</t>
  </si>
  <si>
    <t>ModifiedFollowing</t>
  </si>
  <si>
    <t>MF</t>
  </si>
  <si>
    <t>Preceding</t>
  </si>
  <si>
    <t>P</t>
  </si>
  <si>
    <t>Holiday Definitions</t>
  </si>
  <si>
    <t>Holiday</t>
  </si>
  <si>
    <t>WeekendLogic</t>
  </si>
  <si>
    <t>Calculate holidays through year:</t>
  </si>
  <si>
    <t>Date</t>
  </si>
  <si>
    <t>Reference Date</t>
  </si>
  <si>
    <t>Term</t>
  </si>
  <si>
    <t>Calendar Date</t>
  </si>
  <si>
    <t>1D</t>
  </si>
  <si>
    <t>2D</t>
  </si>
  <si>
    <t>1W</t>
  </si>
  <si>
    <t>Good Business Date</t>
  </si>
  <si>
    <t>2W</t>
  </si>
  <si>
    <t>3D</t>
  </si>
  <si>
    <t>4D</t>
  </si>
  <si>
    <t>5D</t>
  </si>
  <si>
    <t>1M</t>
  </si>
  <si>
    <t>45D</t>
  </si>
  <si>
    <t>2M</t>
  </si>
  <si>
    <t>3M</t>
  </si>
  <si>
    <t>4M</t>
  </si>
  <si>
    <t>5M</t>
  </si>
  <si>
    <t>6M</t>
  </si>
  <si>
    <t>7M</t>
  </si>
  <si>
    <t>8M</t>
  </si>
  <si>
    <t>9M</t>
  </si>
  <si>
    <t>10M</t>
  </si>
  <si>
    <t>11M</t>
  </si>
  <si>
    <t>1Y</t>
  </si>
  <si>
    <t>18M</t>
  </si>
  <si>
    <t>2Y</t>
  </si>
  <si>
    <t>3Y</t>
  </si>
  <si>
    <t>4Y</t>
  </si>
  <si>
    <t>5Y</t>
  </si>
  <si>
    <t>6Y</t>
  </si>
  <si>
    <t>7Y</t>
  </si>
  <si>
    <t>8Y</t>
  </si>
  <si>
    <t>9Y</t>
  </si>
  <si>
    <t>10Y</t>
  </si>
  <si>
    <t>11Y</t>
  </si>
  <si>
    <t>12Y</t>
  </si>
  <si>
    <t>13Y</t>
  </si>
  <si>
    <t>14Y</t>
  </si>
  <si>
    <t>15Y</t>
  </si>
  <si>
    <t>16Y</t>
  </si>
  <si>
    <t>17Y</t>
  </si>
  <si>
    <t>18Y</t>
  </si>
  <si>
    <t>19Y</t>
  </si>
  <si>
    <t>20Y</t>
  </si>
  <si>
    <t>Business Day Convention</t>
  </si>
  <si>
    <t>Holiday Sheet</t>
  </si>
  <si>
    <t>Calendar Date Is</t>
  </si>
  <si>
    <t>ModifiedPreceding</t>
  </si>
  <si>
    <t>MP</t>
  </si>
  <si>
    <t>In order for BusinessDayCalculator to function properly, the add-in file CustomDateFunctions.xlam must be installed.  The BusinessDayCalculator will try to install CustomDateFunctions.xlam from its own directory upon opening.</t>
  </si>
  <si>
    <t>About:</t>
  </si>
  <si>
    <t>HOLIDAY CALCULATOR</t>
  </si>
  <si>
    <t>1.</t>
  </si>
  <si>
    <t>2.</t>
  </si>
  <si>
    <t>Instance</t>
  </si>
  <si>
    <t>Holiday Schedule</t>
  </si>
  <si>
    <t>Unit</t>
  </si>
  <si>
    <t>OfBeforeAfter</t>
  </si>
  <si>
    <t>Day</t>
  </si>
  <si>
    <t>Month</t>
  </si>
  <si>
    <t>Business Date Calculator</t>
  </si>
  <si>
    <t>Relative Business Date Calculations</t>
  </si>
  <si>
    <t>Config</t>
  </si>
  <si>
    <t>Holiday Schedules</t>
  </si>
  <si>
    <t>Holiday Schedule Sheets</t>
  </si>
  <si>
    <r>
      <t xml:space="preserve">Create Holiday schedules by clicking the </t>
    </r>
    <r>
      <rPr>
        <i/>
        <sz val="11"/>
        <color theme="1"/>
        <rFont val="Calibri"/>
        <family val="2"/>
        <scheme val="minor"/>
      </rPr>
      <t>Add Holiday Schedule</t>
    </r>
    <r>
      <rPr>
        <sz val="11"/>
        <color theme="1"/>
        <rFont val="Calibri"/>
        <family val="2"/>
        <scheme val="minor"/>
      </rPr>
      <t xml:space="preserve"> button on the Main sheet.  This will add a new custom worksheet where you can…</t>
    </r>
  </si>
  <si>
    <r>
      <t xml:space="preserve">Calculate the future schedule of your defined holidays by clicking the sheet's </t>
    </r>
    <r>
      <rPr>
        <i/>
        <sz val="11"/>
        <color theme="1"/>
        <rFont val="Calibri"/>
        <family val="2"/>
        <scheme val="minor"/>
      </rPr>
      <t>Calculate Holidays</t>
    </r>
    <r>
      <rPr>
        <sz val="11"/>
        <color theme="1"/>
        <rFont val="Calibri"/>
        <family val="2"/>
        <scheme val="minor"/>
      </rPr>
      <t xml:space="preserve"> button.</t>
    </r>
  </si>
  <si>
    <r>
      <t xml:space="preserve">Define a list of holidays in the sheet's "Holiday Definitions" table, or import a saved holiday definition list from a csv file by clicking the sheet's </t>
    </r>
    <r>
      <rPr>
        <i/>
        <sz val="11"/>
        <color theme="1"/>
        <rFont val="Calibri"/>
        <family val="2"/>
        <scheme val="minor"/>
      </rPr>
      <t>Load Holiday Definitions</t>
    </r>
    <r>
      <rPr>
        <sz val="11"/>
        <color theme="1"/>
        <rFont val="Calibri"/>
        <family val="2"/>
        <scheme val="minor"/>
      </rPr>
      <t xml:space="preserve"> button.</t>
    </r>
  </si>
  <si>
    <t>The BusinessDayCalculator enables a user to determine the business dates that calendar dates should be modified to, given a business day convention and holiday schedule.  A practical application for the tool might be to determine a cash flow schedule for an interest rate swap or credit default swap.</t>
  </si>
  <si>
    <t>US</t>
  </si>
  <si>
    <t>New Year's Day</t>
  </si>
  <si>
    <t>Of</t>
  </si>
  <si>
    <t>January</t>
  </si>
  <si>
    <t>Monday</t>
  </si>
  <si>
    <t>Martin Luther King Jr. Day</t>
  </si>
  <si>
    <t>Presidents Day</t>
  </si>
  <si>
    <t>February</t>
  </si>
  <si>
    <t>Good Friday</t>
  </si>
  <si>
    <t>Before</t>
  </si>
  <si>
    <t>Easter Sunday</t>
  </si>
  <si>
    <t>Memorial Day</t>
  </si>
  <si>
    <t>Last</t>
  </si>
  <si>
    <t>May</t>
  </si>
  <si>
    <t>Juneteenth</t>
  </si>
  <si>
    <t>June</t>
  </si>
  <si>
    <t>Closest</t>
  </si>
  <si>
    <t>U.S. Independence Day</t>
  </si>
  <si>
    <t>July</t>
  </si>
  <si>
    <t>Labor Day</t>
  </si>
  <si>
    <t>September</t>
  </si>
  <si>
    <t>Columbus Day</t>
  </si>
  <si>
    <t>October</t>
  </si>
  <si>
    <t>Veterans Day</t>
  </si>
  <si>
    <t>November</t>
  </si>
  <si>
    <t>Thanksgiving Day</t>
  </si>
  <si>
    <t>Thursday</t>
  </si>
  <si>
    <t>Christmas Day</t>
  </si>
  <si>
    <t>December</t>
  </si>
  <si>
    <t>Requirements:</t>
  </si>
  <si>
    <t>Usage:</t>
  </si>
  <si>
    <t>i.</t>
  </si>
  <si>
    <t>ii.</t>
  </si>
  <si>
    <t>Friday</t>
  </si>
  <si>
    <r>
      <t xml:space="preserve">See the </t>
    </r>
    <r>
      <rPr>
        <b/>
        <sz val="11"/>
        <color theme="1"/>
        <rFont val="Calibri"/>
        <family val="2"/>
        <scheme val="minor"/>
      </rPr>
      <t>Calculator</t>
    </r>
    <r>
      <rPr>
        <sz val="11"/>
        <color theme="1"/>
        <rFont val="Calibri"/>
        <family val="2"/>
        <scheme val="minor"/>
      </rPr>
      <t xml:space="preserve"> sheet for a demonstration of how to apply a holiday schedule to calculate business dates for given calendar dates.</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</si>
</sst>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0" x14ac:knownFonts="1">
    <font>
      <sz val="11"/>
      <color theme="1"/>
      <name val="Calibri"/>
      <family val="2"/>
      <scheme val="minor"/>
    </font>
    <font>
      <b/>
      <sz val="11"/>
      <color theme="1"/>
      <name val="Calibri"/>
      <family val="2"/>
      <scheme val="minor"/>
    </font>
    <font>
      <i/>
      <sz val="11"/>
      <color theme="1"/>
      <name val="Calibri"/>
      <family val="2"/>
      <scheme val="minor"/>
    </font>
    <font>
      <b/>
      <sz val="11"/>
      <color theme="0"/>
      <name val="Calibri"/>
      <family val="2"/>
      <scheme val="minor"/>
    </font>
    <font>
      <b/>
      <sz val="12"/>
      <color theme="1"/>
      <name val="Calibri"/>
      <family val="2"/>
      <scheme val="minor"/>
    </font>
    <font>
      <sz val="9"/>
      <color indexed="81"/>
      <name val="Tahoma"/>
      <family val="2"/>
    </font>
    <font>
      <b/>
      <sz val="9"/>
      <color indexed="81"/>
      <name val="Tahoma"/>
      <family val="2"/>
    </font>
    <font>
      <i/>
      <sz val="12"/>
      <color theme="1"/>
      <name val="Calibri"/>
      <family val="2"/>
      <scheme val="minor"/>
    </font>
    <font>
      <sz val="11"/>
      <color rgb="FFFF0000"/>
      <name val="Calibri"/>
      <family val="2"/>
      <scheme val="minor"/>
    </font>
    <font>
      <b/>
      <sz val="14"/>
      <color theme="0"/>
      <name val="Calibri"/>
      <family val="2"/>
      <scheme val="minor"/>
    </font>
  </fonts>
  <fills count="9">
    <fill>
      <patternFill patternType="none"/>
    </fill>
    <fill>
      <patternFill patternType="gray125"/>
    </fill>
    <fill>
      <patternFill patternType="solid">
        <fgColor rgb="FFFFFFCC"/>
        <bgColor indexed="64"/>
      </patternFill>
    </fill>
    <fill>
      <patternFill patternType="solid">
        <fgColor theme="4"/>
        <bgColor theme="4"/>
      </patternFill>
    </fill>
    <fill>
      <patternFill patternType="solid">
        <fgColor theme="8"/>
        <bgColor theme="8"/>
      </patternFill>
    </fill>
    <fill>
      <patternFill patternType="solid">
        <fgColor theme="4" tint="0.79998168889431442"/>
        <bgColor indexed="64"/>
      </patternFill>
    </fill>
    <fill>
      <patternFill patternType="solid">
        <fgColor theme="1"/>
        <bgColor indexed="64"/>
      </patternFill>
    </fill>
    <fill>
      <patternFill patternType="solid">
        <fgColor theme="0" tint="-0.249977111117893"/>
        <bgColor auto="1"/>
      </patternFill>
    </fill>
    <fill>
      <patternFill patternType="solid">
        <fgColor theme="3" tint="0.39997558519241921"/>
        <bgColor auto="1"/>
      </patternFill>
    </fill>
  </fills>
  <borders count="32">
    <border>
      <left/>
      <right/>
      <top/>
      <bottom/>
      <diagonal/>
    </border>
    <border>
      <left style="thin">
        <color indexed="64"/>
      </left>
      <right style="hair">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hair">
        <color auto="1"/>
      </right>
      <top style="thin">
        <color auto="1"/>
      </top>
      <bottom style="hair">
        <color auto="1"/>
      </bottom>
      <diagonal/>
    </border>
    <border>
      <left style="hair">
        <color auto="1"/>
      </left>
      <right style="hair">
        <color auto="1"/>
      </right>
      <top style="thin">
        <color auto="1"/>
      </top>
      <bottom style="hair">
        <color auto="1"/>
      </bottom>
      <diagonal/>
    </border>
    <border>
      <left style="hair">
        <color auto="1"/>
      </left>
      <right style="medium">
        <color auto="1"/>
      </right>
      <top style="thin">
        <color auto="1"/>
      </top>
      <bottom style="hair">
        <color auto="1"/>
      </bottom>
      <diagonal/>
    </border>
    <border>
      <left style="medium">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medium">
        <color auto="1"/>
      </left>
      <right style="hair">
        <color auto="1"/>
      </right>
      <top style="hair">
        <color auto="1"/>
      </top>
      <bottom style="medium">
        <color auto="1"/>
      </bottom>
      <diagonal/>
    </border>
    <border>
      <left style="hair">
        <color auto="1"/>
      </left>
      <right style="hair">
        <color auto="1"/>
      </right>
      <top style="hair">
        <color auto="1"/>
      </top>
      <bottom style="medium">
        <color auto="1"/>
      </bottom>
      <diagonal/>
    </border>
    <border>
      <left style="hair">
        <color auto="1"/>
      </left>
      <right style="medium">
        <color auto="1"/>
      </right>
      <top style="hair">
        <color auto="1"/>
      </top>
      <bottom style="medium">
        <color auto="1"/>
      </bottom>
      <diagonal/>
    </border>
    <border>
      <left style="medium">
        <color auto="1"/>
      </left>
      <right style="hair">
        <color auto="1"/>
      </right>
      <top style="medium">
        <color auto="1"/>
      </top>
      <bottom style="thin">
        <color auto="1"/>
      </bottom>
      <diagonal/>
    </border>
    <border>
      <left style="hair">
        <color auto="1"/>
      </left>
      <right style="medium">
        <color auto="1"/>
      </right>
      <top style="medium">
        <color auto="1"/>
      </top>
      <bottom style="thin">
        <color auto="1"/>
      </bottom>
      <diagonal/>
    </border>
    <border>
      <left style="medium">
        <color auto="1"/>
      </left>
      <right style="hair">
        <color auto="1"/>
      </right>
      <top/>
      <bottom style="medium">
        <color auto="1"/>
      </bottom>
      <diagonal/>
    </border>
    <border>
      <left style="hair">
        <color auto="1"/>
      </left>
      <right style="medium">
        <color auto="1"/>
      </right>
      <top/>
      <bottom style="medium">
        <color auto="1"/>
      </bottom>
      <diagonal/>
    </border>
    <border>
      <left style="medium">
        <color auto="1"/>
      </left>
      <right style="hair">
        <color auto="1"/>
      </right>
      <top style="thin">
        <color auto="1"/>
      </top>
      <bottom style="thin">
        <color auto="1"/>
      </bottom>
      <diagonal/>
    </border>
    <border>
      <left style="hair">
        <color auto="1"/>
      </left>
      <right style="medium">
        <color auto="1"/>
      </right>
      <top style="thin">
        <color auto="1"/>
      </top>
      <bottom style="thin">
        <color auto="1"/>
      </bottom>
      <diagonal/>
    </border>
    <border>
      <left style="hair">
        <color auto="1"/>
      </left>
      <right/>
      <top style="thin">
        <color auto="1"/>
      </top>
      <bottom style="hair">
        <color auto="1"/>
      </bottom>
      <diagonal/>
    </border>
    <border>
      <left style="hair">
        <color auto="1"/>
      </left>
      <right/>
      <top style="hair">
        <color auto="1"/>
      </top>
      <bottom style="hair">
        <color auto="1"/>
      </bottom>
      <diagonal/>
    </border>
    <border>
      <left style="hair">
        <color auto="1"/>
      </left>
      <right/>
      <top style="hair">
        <color auto="1"/>
      </top>
      <bottom style="medium">
        <color auto="1"/>
      </bottom>
      <diagonal/>
    </border>
  </borders>
  <cellStyleXfs count="1">
    <xf numFmtId="0" fontId="0" fillId="0" borderId="0"/>
  </cellStyleXfs>
  <cellXfs count="52">
    <xf numFmtId="0" fontId="0" fillId="0" borderId="0" xfId="0"/>
    <xf numFmtId="0" fontId="2" fillId="0" borderId="1" xfId="0" applyFont="1" applyBorder="1"/>
    <xf numFmtId="0" fontId="1" fillId="2" borderId="2" xfId="0" applyFont="1" applyFill="1" applyBorder="1"/>
    <xf numFmtId="0" fontId="3" fillId="3" borderId="0" xfId="0" applyFont="1" applyFill="1"/>
    <xf numFmtId="0" fontId="3" fillId="4" borderId="0" xfId="0" applyFont="1" applyFill="1"/>
    <xf numFmtId="0" fontId="4" fillId="0" borderId="0" xfId="0" applyFont="1"/>
    <xf numFmtId="0" fontId="0" fillId="0" borderId="4" xfId="0" applyBorder="1"/>
    <xf numFmtId="0" fontId="0" fillId="0" borderId="5" xfId="0" applyBorder="1"/>
    <xf numFmtId="0" fontId="0" fillId="0" borderId="7" xfId="0" applyBorder="1"/>
    <xf numFmtId="0" fontId="0" fillId="0" borderId="9" xfId="0" applyBorder="1"/>
    <xf numFmtId="0" fontId="0" fillId="0" borderId="10" xfId="0" applyBorder="1"/>
    <xf numFmtId="0" fontId="0" fillId="0" borderId="14" xfId="0" applyBorder="1" applyAlignment="1">
      <alignment horizontal="center"/>
    </xf>
    <xf numFmtId="14" fontId="0" fillId="0" borderId="15" xfId="0" applyNumberFormat="1" applyBorder="1" applyAlignment="1">
      <alignment horizontal="center"/>
    </xf>
    <xf numFmtId="0" fontId="0" fillId="0" borderId="17" xfId="0" applyBorder="1" applyAlignment="1">
      <alignment horizontal="center"/>
    </xf>
    <xf numFmtId="14" fontId="0" fillId="0" borderId="18" xfId="0" applyNumberFormat="1" applyBorder="1" applyAlignment="1">
      <alignment horizontal="center"/>
    </xf>
    <xf numFmtId="14" fontId="0" fillId="0" borderId="19" xfId="0" applyNumberFormat="1" applyBorder="1" applyAlignment="1">
      <alignment horizontal="center"/>
    </xf>
    <xf numFmtId="0" fontId="0" fillId="0" borderId="20" xfId="0" applyBorder="1" applyAlignment="1">
      <alignment horizontal="center"/>
    </xf>
    <xf numFmtId="0" fontId="1" fillId="5" borderId="11" xfId="0" applyFont="1" applyFill="1" applyBorder="1" applyAlignment="1">
      <alignment horizontal="center"/>
    </xf>
    <xf numFmtId="0" fontId="1" fillId="5" borderId="12" xfId="0" applyFont="1" applyFill="1" applyBorder="1" applyAlignment="1">
      <alignment horizontal="center"/>
    </xf>
    <xf numFmtId="0" fontId="1" fillId="5" borderId="13" xfId="0" applyFont="1" applyFill="1" applyBorder="1" applyAlignment="1">
      <alignment horizontal="center"/>
    </xf>
    <xf numFmtId="0" fontId="0" fillId="0" borderId="23" xfId="0" applyBorder="1"/>
    <xf numFmtId="14" fontId="0" fillId="2" borderId="24" xfId="0" applyNumberFormat="1" applyFill="1" applyBorder="1" applyAlignment="1">
      <alignment horizontal="center"/>
    </xf>
    <xf numFmtId="0" fontId="0" fillId="0" borderId="3" xfId="0" applyBorder="1"/>
    <xf numFmtId="0" fontId="0" fillId="0" borderId="6" xfId="0" applyBorder="1"/>
    <xf numFmtId="0" fontId="0" fillId="0" borderId="8" xfId="0" applyBorder="1"/>
    <xf numFmtId="14" fontId="0" fillId="0" borderId="16" xfId="0" applyNumberFormat="1" applyBorder="1" applyAlignment="1">
      <alignment horizontal="center"/>
    </xf>
    <xf numFmtId="14" fontId="0" fillId="0" borderId="21" xfId="0" applyNumberFormat="1" applyBorder="1" applyAlignment="1">
      <alignment horizontal="center"/>
    </xf>
    <xf numFmtId="14" fontId="0" fillId="0" borderId="22" xfId="0" applyNumberFormat="1" applyBorder="1" applyAlignment="1">
      <alignment horizontal="center"/>
    </xf>
    <xf numFmtId="0" fontId="0" fillId="0" borderId="25" xfId="0" applyBorder="1"/>
    <xf numFmtId="0" fontId="0" fillId="2" borderId="26" xfId="0" applyFill="1" applyBorder="1" applyAlignment="1">
      <alignment horizontal="center"/>
    </xf>
    <xf numFmtId="0" fontId="0" fillId="0" borderId="27" xfId="0" applyBorder="1"/>
    <xf numFmtId="0" fontId="0" fillId="2" borderId="28" xfId="0" applyFill="1" applyBorder="1" applyAlignment="1">
      <alignment horizontal="center"/>
    </xf>
    <xf numFmtId="0" fontId="7" fillId="0" borderId="0" xfId="0" applyFont="1" applyAlignment="1">
      <alignment horizontal="center"/>
    </xf>
    <xf numFmtId="14" fontId="0" fillId="0" borderId="29" xfId="0" applyNumberFormat="1" applyBorder="1" applyAlignment="1">
      <alignment horizontal="center"/>
    </xf>
    <xf numFmtId="14" fontId="0" fillId="0" borderId="30" xfId="0" applyNumberFormat="1" applyBorder="1" applyAlignment="1">
      <alignment horizontal="center"/>
    </xf>
    <xf numFmtId="14" fontId="0" fillId="0" borderId="31" xfId="0" applyNumberFormat="1" applyBorder="1" applyAlignment="1">
      <alignment horizontal="center"/>
    </xf>
    <xf numFmtId="14" fontId="0" fillId="0" borderId="0" xfId="0" applyNumberFormat="1" applyAlignment="1">
      <alignment horizontal="center"/>
    </xf>
    <xf numFmtId="0" fontId="0" fillId="0" borderId="0" xfId="0" applyAlignment="1">
      <alignment horizontal="center"/>
    </xf>
    <xf numFmtId="0" fontId="0" fillId="0" borderId="0" xfId="0" applyAlignment="1">
      <alignment wrapText="1"/>
    </xf>
    <xf numFmtId="0" fontId="1" fillId="0" borderId="0" xfId="0" applyFont="1"/>
    <xf numFmtId="0" fontId="8" fillId="6" borderId="0" xfId="0" applyFont="1" applyFill="1"/>
    <xf numFmtId="0" fontId="0" fillId="0" borderId="0" xfId="0" quotePrefix="1" applyAlignment="1">
      <alignment horizontal="right" vertical="top"/>
    </xf>
    <xf numFmtId="0" fontId="0" fillId="0" borderId="0" xfId="0" applyAlignment="1">
      <alignment horizontal="right"/>
    </xf>
    <xf numFmtId="0" fontId="0" fillId="0" borderId="0" xfId="0" quotePrefix="1" applyAlignment="1">
      <alignment horizontal="right"/>
    </xf>
    <xf numFmtId="0" fontId="0" fillId="0" borderId="0" xfId="0" quotePrefix="1"/>
    <xf numFmtId="0" fontId="0" fillId="0" borderId="0" xfId="0" quotePrefix="1" applyAlignment="1">
      <alignment vertical="top"/>
    </xf>
    <xf numFmtId="14" fontId="0" fillId="0" borderId="0" xfId="0" applyNumberFormat="1"/>
    <xf numFmtId="0" fontId="1" fillId="0" borderId="0" xfId="0" applyFont="1" applyAlignment="1">
      <alignment horizontal="left"/>
    </xf>
    <xf numFmtId="0" fontId="0" fillId="0" borderId="0" xfId="0" applyAlignment="1">
      <alignment wrapText="1"/>
    </xf>
    <xf numFmtId="0" fontId="0" fillId="0" borderId="0" xfId="0"/>
    <xf numFmtId="0" fontId="9" fillId="8" borderId="0" xfId="0" applyFont="1" applyFill="1"/>
    <xf numFmtId="0" fontId="9" fillId="7" borderId="0" xfId="0" applyFont="1" applyFill="1"/>
  </cellXfs>
  <cellStyles count="1">
    <cellStyle name="Normal" xfId="0" builtinId="0"/>
  </cellStyles>
  <dxfs count="12">
    <dxf>
      <fill>
        <patternFill>
          <bgColor theme="9" tint="0.59996337778862885"/>
        </patternFill>
      </fill>
    </dxf>
    <dxf>
      <fill>
        <patternFill>
          <bgColor theme="0" tint="-4.9989318521683403E-2"/>
        </patternFill>
      </fill>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i val="0"/>
        <strike val="0"/>
        <condense val="0"/>
        <extend val="0"/>
        <outline val="0"/>
        <shadow val="0"/>
        <u val="none"/>
        <vertAlign val="baseline"/>
        <sz val="11"/>
        <color theme="0"/>
        <name val="Calibri"/>
        <scheme val="minor"/>
      </font>
      <fill>
        <patternFill patternType="solid">
          <fgColor theme="8"/>
          <bgColor theme="8"/>
        </patternFill>
      </fill>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rgb="FF000000"/>
        <name val="Calibri"/>
        <scheme val="none"/>
      </font>
    </dxf>
    <dxf>
      <font>
        <b/>
        <i val="0"/>
        <strike val="0"/>
        <condense val="0"/>
        <extend val="0"/>
        <outline val="0"/>
        <shadow val="0"/>
        <u val="none"/>
        <vertAlign val="baseline"/>
        <sz val="11"/>
        <color theme="0"/>
        <name val="Calibri"/>
        <scheme val="minor"/>
      </font>
      <fill>
        <patternFill patternType="solid">
          <fgColor theme="8"/>
          <bgColor theme="8"/>
        </patternFill>
      </fill>
    </dxf>
    <dxf>
      <font>
        <b/>
        <i val="0"/>
        <color auto="1"/>
      </font>
      <fill>
        <patternFill>
          <bgColor theme="0" tint="-0.14996795556505021"/>
        </patternFill>
      </fill>
    </dxf>
    <dxf>
      <border>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s>
  <tableStyles count="1" defaultTableStyle="TableStyleMedium9" defaultPivotStyle="PivotStyleLight16">
    <tableStyle name="GrayStyle" pivot="0" count="2" xr9:uid="{4F05F72A-14D4-4D50-AFC7-3AE69E192219}">
      <tableStyleElement type="wholeTable" dxfId="11"/>
      <tableStyleElement type="headerRow" dxfId="10"/>
    </tableStyle>
  </tableStyles>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76200</xdr:colOff>
          <xdr:row>8</xdr:row>
          <xdr:rowOff>19050</xdr:rowOff>
        </xdr:from>
        <xdr:to>
          <xdr:col>2</xdr:col>
          <xdr:colOff>1857375</xdr:colOff>
          <xdr:row>10</xdr:row>
          <xdr:rowOff>114300</xdr:rowOff>
        </xdr:to>
        <xdr:sp macro="" textlink="">
          <xdr:nvSpPr>
            <xdr:cNvPr id="4097" name="cmdAddHolSheet"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400050</xdr:colOff>
          <xdr:row>4</xdr:row>
          <xdr:rowOff>123825</xdr:rowOff>
        </xdr:from>
        <xdr:to>
          <xdr:col>12</xdr:col>
          <xdr:colOff>57150</xdr:colOff>
          <xdr:row>6</xdr:row>
          <xdr:rowOff>66675</xdr:rowOff>
        </xdr:to>
        <xdr:sp macro="" textlink="">
          <xdr:nvSpPr>
            <xdr:cNvPr id="7169" name="cmdCalc" hidden="1">
              <a:extLst>
                <a:ext uri="{63B3BB69-23CF-44E3-9099-C40C66FF867C}">
                  <a14:compatExt spid="_x0000_s7169"/>
                </a:ext>
                <a:ext uri="{FF2B5EF4-FFF2-40B4-BE49-F238E27FC236}">
                  <a16:creationId xmlns:a16="http://schemas.microsoft.com/office/drawing/2014/main" id="{00000000-0008-0000-02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304800</xdr:colOff>
          <xdr:row>0</xdr:row>
          <xdr:rowOff>133350</xdr:rowOff>
        </xdr:from>
        <xdr:to>
          <xdr:col>4</xdr:col>
          <xdr:colOff>904875</xdr:colOff>
          <xdr:row>2</xdr:row>
          <xdr:rowOff>66675</xdr:rowOff>
        </xdr:to>
        <xdr:sp macro="" textlink="">
          <xdr:nvSpPr>
            <xdr:cNvPr id="7170" name="cmdLoadDefs" hidden="1">
              <a:extLst>
                <a:ext uri="{63B3BB69-23CF-44E3-9099-C40C66FF867C}">
                  <a14:compatExt spid="_x0000_s7170"/>
                </a:ext>
                <a:ext uri="{FF2B5EF4-FFF2-40B4-BE49-F238E27FC236}">
                  <a16:creationId xmlns:a16="http://schemas.microsoft.com/office/drawing/2014/main" id="{00000000-0008-0000-02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400050</xdr:colOff>
          <xdr:row>4</xdr:row>
          <xdr:rowOff>123825</xdr:rowOff>
        </xdr:from>
        <xdr:to>
          <xdr:col>12</xdr:col>
          <xdr:colOff>190500</xdr:colOff>
          <xdr:row>6</xdr:row>
          <xdr:rowOff>66675</xdr:rowOff>
        </xdr:to>
        <xdr:sp macro="" textlink="">
          <xdr:nvSpPr>
            <xdr:cNvPr id="5121" name="cmdCalc"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304800</xdr:colOff>
          <xdr:row>0</xdr:row>
          <xdr:rowOff>133350</xdr:rowOff>
        </xdr:from>
        <xdr:to>
          <xdr:col>4</xdr:col>
          <xdr:colOff>904875</xdr:colOff>
          <xdr:row>2</xdr:row>
          <xdr:rowOff>66675</xdr:rowOff>
        </xdr:to>
        <xdr:sp macro="" textlink="">
          <xdr:nvSpPr>
            <xdr:cNvPr id="5122" name="cmdLoadDefs" hidden="1">
              <a:extLst>
                <a:ext uri="{63B3BB69-23CF-44E3-9099-C40C66FF867C}">
                  <a14:compatExt spid="_x0000_s5122"/>
                </a:ext>
                <a:ext uri="{FF2B5EF4-FFF2-40B4-BE49-F238E27FC236}">
                  <a16:creationId xmlns:a16="http://schemas.microsoft.com/office/drawing/2014/main" id="{00000000-0008-0000-03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argue\source\repos\BusinessDayCalculator\CustomDateFunctions.xlam" TargetMode="External"/><Relationship Id="rId1" Type="http://schemas.openxmlformats.org/officeDocument/2006/relationships/externalLinkPath" Target="CustomDateFunctions.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s>
    <definedNames>
      <definedName name="AddTerm"/>
      <definedName name="GetBusinessDate"/>
    </definedNames>
    <sheetDataSet>
      <sheetData sheetId="0"/>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M6:N10" totalsRowShown="0">
  <autoFilter ref="M6:N10" xr:uid="{00000000-0009-0000-0100-000001000000}"/>
  <tableColumns count="2">
    <tableColumn id="1" xr3:uid="{00000000-0010-0000-0000-000001000000}" name="Name"/>
    <tableColumn id="2" xr3:uid="{00000000-0010-0000-0000-000002000000}" name="Symbol"/>
  </tableColumns>
  <tableStyleInfo name="GrayStyle"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F047D81-02CB-4BBC-A6C7-9F6F5DBDDF6D}" name="tblHolidayScheduleSheets" displayName="tblHolidayScheduleSheets" ref="C14:C15" totalsRowShown="0">
  <autoFilter ref="C14:C15" xr:uid="{6F047D81-02CB-4BBC-A6C7-9F6F5DBDDF6D}"/>
  <tableColumns count="1">
    <tableColumn id="1" xr3:uid="{69DD1068-23B1-4DA5-B306-86322A2DF74E}" name="Holiday Schedule Sheets"/>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D148CF9-0354-4DDB-B8EB-ACFC447AA52F}" name="HolTblUS" displayName="HolTblUS" ref="L8:M260" totalsRowShown="0" headerRowDxfId="9" dataDxfId="8">
  <autoFilter ref="L8:M260" xr:uid="{00000000-0009-0000-0100-000002000000}"/>
  <tableColumns count="2">
    <tableColumn id="1" xr3:uid="{1A62E516-4471-433C-9971-93CBAED5B030}" name="Holiday" dataDxfId="7"/>
    <tableColumn id="2" xr3:uid="{314B3F0C-09EE-4549-BA19-BE10C9E9CF15}" name="Date" dataDxfId="6"/>
  </tableColumns>
  <tableStyleInfo name="TableStyleLight1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HolTblHolidays" displayName="HolTblHolidays" ref="L8:M9" insertRow="1" totalsRowShown="0" headerRowDxfId="5" dataDxfId="4">
  <autoFilter ref="L8:M9" xr:uid="{00000000-0009-0000-0100-000002000000}"/>
  <tableColumns count="2">
    <tableColumn id="1" xr3:uid="{00000000-0010-0000-0100-000001000000}" name="Holiday" dataDxfId="3"/>
    <tableColumn id="2" xr3:uid="{00000000-0010-0000-0100-000002000000}" name="Date" dataDxfId="2"/>
  </tableColumns>
  <tableStyleInfo name="TableStyleLight13"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2.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table" Target="../tables/table1.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vmlDrawing" Target="../drawings/vmlDrawing2.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2.emf"/><Relationship Id="rId4" Type="http://schemas.openxmlformats.org/officeDocument/2006/relationships/control" Target="../activeX/activeX2.xml"/><Relationship Id="rId9" Type="http://schemas.openxmlformats.org/officeDocument/2006/relationships/comments" Target="../comments2.xml"/></Relationships>
</file>

<file path=xl/worksheets/_rels/sheet4.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vmlDrawing" Target="../drawings/vmlDrawing3.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ontrol" Target="../activeX/activeX5.xml"/><Relationship Id="rId5" Type="http://schemas.openxmlformats.org/officeDocument/2006/relationships/image" Target="../media/image4.emf"/><Relationship Id="rId4" Type="http://schemas.openxmlformats.org/officeDocument/2006/relationships/control" Target="../activeX/activeX4.xml"/><Relationship Id="rId9" Type="http://schemas.openxmlformats.org/officeDocument/2006/relationships/comments" Target="../comments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sAbout"/>
  <dimension ref="B3:D17"/>
  <sheetViews>
    <sheetView showGridLines="0" showRowColHeaders="0" workbookViewId="0"/>
  </sheetViews>
  <sheetFormatPr defaultRowHeight="15" x14ac:dyDescent="0.25"/>
  <cols>
    <col min="1" max="1" width="4.7109375" customWidth="1"/>
    <col min="2" max="2" width="2.5703125" customWidth="1"/>
    <col min="3" max="3" width="2.7109375" customWidth="1"/>
    <col min="4" max="4" width="115.5703125" customWidth="1"/>
  </cols>
  <sheetData>
    <row r="3" spans="2:4" x14ac:dyDescent="0.25">
      <c r="B3" s="39" t="s">
        <v>64</v>
      </c>
    </row>
    <row r="4" spans="2:4" ht="45" customHeight="1" x14ac:dyDescent="0.25">
      <c r="C4" s="48" t="s">
        <v>82</v>
      </c>
      <c r="D4" s="48"/>
    </row>
    <row r="6" spans="2:4" x14ac:dyDescent="0.25">
      <c r="B6" s="39" t="s">
        <v>112</v>
      </c>
    </row>
    <row r="7" spans="2:4" ht="7.5" customHeight="1" x14ac:dyDescent="0.25"/>
    <row r="8" spans="2:4" ht="30" customHeight="1" x14ac:dyDescent="0.25">
      <c r="B8" s="41" t="s">
        <v>66</v>
      </c>
      <c r="C8" s="48" t="s">
        <v>63</v>
      </c>
      <c r="D8" s="48"/>
    </row>
    <row r="9" spans="2:4" x14ac:dyDescent="0.25">
      <c r="B9" s="42"/>
    </row>
    <row r="10" spans="2:4" x14ac:dyDescent="0.25">
      <c r="B10" s="47" t="s">
        <v>113</v>
      </c>
    </row>
    <row r="11" spans="2:4" x14ac:dyDescent="0.25">
      <c r="B11" s="41" t="s">
        <v>66</v>
      </c>
      <c r="C11" s="48" t="s">
        <v>79</v>
      </c>
      <c r="D11" s="48"/>
    </row>
    <row r="12" spans="2:4" ht="4.5" customHeight="1" x14ac:dyDescent="0.25">
      <c r="B12" s="41"/>
      <c r="C12" s="38"/>
      <c r="D12" s="38"/>
    </row>
    <row r="13" spans="2:4" ht="30" x14ac:dyDescent="0.25">
      <c r="B13" s="42"/>
      <c r="C13" s="45" t="s">
        <v>114</v>
      </c>
      <c r="D13" s="38" t="s">
        <v>81</v>
      </c>
    </row>
    <row r="14" spans="2:4" ht="4.5" customHeight="1" x14ac:dyDescent="0.25">
      <c r="B14" s="42"/>
      <c r="C14" s="45"/>
      <c r="D14" s="38"/>
    </row>
    <row r="15" spans="2:4" x14ac:dyDescent="0.25">
      <c r="B15" s="42"/>
      <c r="C15" s="44" t="s">
        <v>115</v>
      </c>
      <c r="D15" s="38" t="s">
        <v>80</v>
      </c>
    </row>
    <row r="16" spans="2:4" x14ac:dyDescent="0.25">
      <c r="B16" s="42"/>
      <c r="D16" s="38"/>
    </row>
    <row r="17" spans="2:4" x14ac:dyDescent="0.25">
      <c r="B17" s="43" t="s">
        <v>67</v>
      </c>
      <c r="C17" s="49" t="s">
        <v>117</v>
      </c>
      <c r="D17" s="49"/>
    </row>
  </sheetData>
  <mergeCells count="4">
    <mergeCell ref="C4:D4"/>
    <mergeCell ref="C8:D8"/>
    <mergeCell ref="C11:D11"/>
    <mergeCell ref="C17:D17"/>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wsMain"/>
  <dimension ref="B1:N50"/>
  <sheetViews>
    <sheetView showGridLines="0" showRowColHeaders="0" tabSelected="1" zoomScale="80" zoomScaleNormal="80" workbookViewId="0">
      <selection activeCell="C15" sqref="C15"/>
    </sheetView>
  </sheetViews>
  <sheetFormatPr defaultRowHeight="15" x14ac:dyDescent="0.25"/>
  <cols>
    <col min="2" max="2" width="4.7109375" customWidth="1"/>
    <col min="3" max="3" width="29.42578125" bestFit="1" customWidth="1"/>
    <col min="4" max="4" width="4.5703125" customWidth="1"/>
    <col min="5" max="5" width="9.140625" customWidth="1"/>
    <col min="6" max="6" width="26.28515625" bestFit="1" customWidth="1"/>
    <col min="7" max="7" width="13.7109375" bestFit="1" customWidth="1"/>
    <col min="8" max="8" width="19.28515625" bestFit="1" customWidth="1"/>
    <col min="9" max="9" width="21.42578125" bestFit="1" customWidth="1"/>
    <col min="10" max="10" width="9.140625" customWidth="1"/>
    <col min="13" max="13" width="20.140625" bestFit="1" customWidth="1"/>
    <col min="14" max="14" width="10.7109375" customWidth="1"/>
  </cols>
  <sheetData>
    <row r="1" spans="2:14" ht="7.5" customHeight="1" x14ac:dyDescent="0.25"/>
    <row r="2" spans="2:14" ht="18.75" x14ac:dyDescent="0.3">
      <c r="B2" s="50" t="s">
        <v>74</v>
      </c>
      <c r="C2" s="50"/>
      <c r="D2" s="50"/>
      <c r="E2" s="50"/>
      <c r="F2" s="50"/>
      <c r="G2" s="50"/>
      <c r="H2" s="50"/>
      <c r="I2" s="50"/>
      <c r="M2" s="51" t="s">
        <v>76</v>
      </c>
      <c r="N2" s="51"/>
    </row>
    <row r="3" spans="2:14" ht="7.5" customHeight="1" x14ac:dyDescent="0.25"/>
    <row r="4" spans="2:14" ht="15.75" x14ac:dyDescent="0.25">
      <c r="B4" s="5" t="s">
        <v>77</v>
      </c>
      <c r="F4" s="5" t="s">
        <v>75</v>
      </c>
      <c r="M4" s="5" t="s">
        <v>1</v>
      </c>
    </row>
    <row r="5" spans="2:14" ht="15.75" thickBot="1" x14ac:dyDescent="0.3"/>
    <row r="6" spans="2:14" x14ac:dyDescent="0.25">
      <c r="B6" s="22"/>
      <c r="C6" s="6"/>
      <c r="D6" s="7"/>
      <c r="F6" s="20" t="s">
        <v>14</v>
      </c>
      <c r="G6" s="21">
        <v>45253</v>
      </c>
      <c r="H6" s="36"/>
      <c r="M6" t="s">
        <v>0</v>
      </c>
      <c r="N6" t="s">
        <v>3</v>
      </c>
    </row>
    <row r="7" spans="2:14" ht="15.75" x14ac:dyDescent="0.25">
      <c r="B7" s="23"/>
      <c r="C7" s="32" t="str" cm="1">
        <f t="array" ref="C7">GetHolidaySheetStatus()</f>
        <v>1 holiday sheet is loaded!</v>
      </c>
      <c r="D7" s="8"/>
      <c r="F7" s="30" t="s">
        <v>58</v>
      </c>
      <c r="G7" s="31" t="s">
        <v>6</v>
      </c>
      <c r="H7" s="37"/>
      <c r="M7" t="s">
        <v>2</v>
      </c>
      <c r="N7" t="s">
        <v>4</v>
      </c>
    </row>
    <row r="8" spans="2:14" ht="15.75" thickBot="1" x14ac:dyDescent="0.3">
      <c r="B8" s="23"/>
      <c r="D8" s="8"/>
      <c r="F8" s="28" t="s">
        <v>59</v>
      </c>
      <c r="G8" s="29" t="s">
        <v>83</v>
      </c>
      <c r="H8" s="37"/>
      <c r="M8" t="s">
        <v>5</v>
      </c>
      <c r="N8" t="s">
        <v>6</v>
      </c>
    </row>
    <row r="9" spans="2:14" ht="15.75" thickBot="1" x14ac:dyDescent="0.3">
      <c r="B9" s="23"/>
      <c r="D9" s="8"/>
      <c r="M9" t="s">
        <v>7</v>
      </c>
      <c r="N9" t="s">
        <v>8</v>
      </c>
    </row>
    <row r="10" spans="2:14" x14ac:dyDescent="0.25">
      <c r="B10" s="23"/>
      <c r="D10" s="8"/>
      <c r="F10" s="17" t="s">
        <v>15</v>
      </c>
      <c r="G10" s="18" t="s">
        <v>16</v>
      </c>
      <c r="H10" s="18" t="s">
        <v>20</v>
      </c>
      <c r="I10" s="19" t="s">
        <v>60</v>
      </c>
      <c r="M10" t="s">
        <v>61</v>
      </c>
      <c r="N10" t="s">
        <v>62</v>
      </c>
    </row>
    <row r="11" spans="2:14" x14ac:dyDescent="0.25">
      <c r="B11" s="23"/>
      <c r="D11" s="8"/>
      <c r="F11" s="11" t="s">
        <v>17</v>
      </c>
      <c r="G11" s="12" cm="1">
        <f t="array" ref="G11">[1]!AddTerm(RefDate,F11)</f>
        <v>45254</v>
      </c>
      <c r="H11" s="33" cm="1">
        <f t="array" aca="1" ref="H11" ca="1">[1]!GetBusinessDate($G11,BusinessDayConv,IF(ISBLANK(HolidaySheet),HolidaySheet,INDIRECT("HolTbl"&amp;HolidaySheet&amp;"[Date]")))</f>
        <v>45254</v>
      </c>
      <c r="I11" s="25" t="str">
        <f t="shared" ref="I11:I50" ca="1" si="0">IF(OR(WEEKDAY($G11)=1,WEEKDAY($G11)=7),"Weekend",IF(ISERROR(MATCH($G11,INDIRECT("HolTbl"&amp;HolidaySheet&amp;"[Date]"),0)),$H$10,INDEX(INDIRECT("HolTbl"&amp;HolidaySheet&amp;"[Holiday]"),MATCH($G11,INDIRECT("HolTbl"&amp;HolidaySheet&amp;"[Date]"),0))))</f>
        <v>Good Business Date</v>
      </c>
    </row>
    <row r="12" spans="2:14" ht="15.75" thickBot="1" x14ac:dyDescent="0.3">
      <c r="B12" s="24"/>
      <c r="C12" s="9"/>
      <c r="D12" s="10"/>
      <c r="F12" s="13" t="s">
        <v>18</v>
      </c>
      <c r="G12" s="14" cm="1">
        <f t="array" ref="G12">[1]!AddTerm(RefDate,F12)</f>
        <v>45255</v>
      </c>
      <c r="H12" s="34" cm="1">
        <f t="array" aca="1" ref="H12" ca="1">[1]!GetBusinessDate($G12,BusinessDayConv,IF(ISBLANK(HolidaySheet),HolidaySheet,INDIRECT("HolTbl"&amp;HolidaySheet&amp;"[Date]")))</f>
        <v>45257</v>
      </c>
      <c r="I12" s="15" t="str">
        <f t="shared" ca="1" si="0"/>
        <v>Weekend</v>
      </c>
    </row>
    <row r="13" spans="2:14" x14ac:dyDescent="0.25">
      <c r="F13" s="13" t="s">
        <v>22</v>
      </c>
      <c r="G13" s="14" cm="1">
        <f t="array" ref="G13">[1]!AddTerm(RefDate,F13)</f>
        <v>45256</v>
      </c>
      <c r="H13" s="34" cm="1">
        <f t="array" aca="1" ref="H13" ca="1">[1]!GetBusinessDate($G13,BusinessDayConv,IF(ISBLANK(HolidaySheet),HolidaySheet,INDIRECT("HolTbl"&amp;HolidaySheet&amp;"[Date]")))</f>
        <v>45257</v>
      </c>
      <c r="I13" s="15" t="str">
        <f t="shared" ca="1" si="0"/>
        <v>Weekend</v>
      </c>
    </row>
    <row r="14" spans="2:14" x14ac:dyDescent="0.25">
      <c r="C14" t="s">
        <v>78</v>
      </c>
      <c r="F14" s="13" t="s">
        <v>23</v>
      </c>
      <c r="G14" s="14" cm="1">
        <f t="array" ref="G14">[1]!AddTerm(RefDate,F14)</f>
        <v>45257</v>
      </c>
      <c r="H14" s="34" cm="1">
        <f t="array" aca="1" ref="H14" ca="1">[1]!GetBusinessDate($G14,BusinessDayConv,IF(ISBLANK(HolidaySheet),HolidaySheet,INDIRECT("HolTbl"&amp;HolidaySheet&amp;"[Date]")))</f>
        <v>45257</v>
      </c>
      <c r="I14" s="15" t="str">
        <f t="shared" ca="1" si="0"/>
        <v>Good Business Date</v>
      </c>
    </row>
    <row r="15" spans="2:14" x14ac:dyDescent="0.25">
      <c r="C15" t="s">
        <v>83</v>
      </c>
      <c r="F15" s="13" t="s">
        <v>24</v>
      </c>
      <c r="G15" s="14" cm="1">
        <f t="array" ref="G15">[1]!AddTerm(RefDate,F15)</f>
        <v>45258</v>
      </c>
      <c r="H15" s="34" cm="1">
        <f t="array" aca="1" ref="H15" ca="1">[1]!GetBusinessDate($G15,BusinessDayConv,IF(ISBLANK(HolidaySheet),HolidaySheet,INDIRECT("HolTbl"&amp;HolidaySheet&amp;"[Date]")))</f>
        <v>45258</v>
      </c>
      <c r="I15" s="15" t="str">
        <f t="shared" ca="1" si="0"/>
        <v>Good Business Date</v>
      </c>
    </row>
    <row r="16" spans="2:14" x14ac:dyDescent="0.25">
      <c r="F16" s="13" t="s">
        <v>19</v>
      </c>
      <c r="G16" s="14" cm="1">
        <f t="array" ref="G16">[1]!AddTerm(RefDate,F16)</f>
        <v>45260</v>
      </c>
      <c r="H16" s="34" cm="1">
        <f t="array" aca="1" ref="H16" ca="1">[1]!GetBusinessDate($G16,BusinessDayConv,IF(ISBLANK(HolidaySheet),HolidaySheet,INDIRECT("HolTbl"&amp;HolidaySheet&amp;"[Date]")))</f>
        <v>45260</v>
      </c>
      <c r="I16" s="15" t="str">
        <f t="shared" ca="1" si="0"/>
        <v>Good Business Date</v>
      </c>
    </row>
    <row r="17" spans="6:9" x14ac:dyDescent="0.25">
      <c r="F17" s="13" t="s">
        <v>21</v>
      </c>
      <c r="G17" s="14" cm="1">
        <f t="array" ref="G17">[1]!AddTerm(RefDate,F17)</f>
        <v>45267</v>
      </c>
      <c r="H17" s="34" cm="1">
        <f t="array" aca="1" ref="H17" ca="1">[1]!GetBusinessDate($G17,BusinessDayConv,IF(ISBLANK(HolidaySheet),HolidaySheet,INDIRECT("HolTbl"&amp;HolidaySheet&amp;"[Date]")))</f>
        <v>45267</v>
      </c>
      <c r="I17" s="15" t="str">
        <f t="shared" ca="1" si="0"/>
        <v>Good Business Date</v>
      </c>
    </row>
    <row r="18" spans="6:9" x14ac:dyDescent="0.25">
      <c r="F18" s="13" t="s">
        <v>25</v>
      </c>
      <c r="G18" s="14" cm="1">
        <f t="array" ref="G18">[1]!AddTerm(RefDate,F18)</f>
        <v>45283</v>
      </c>
      <c r="H18" s="34" cm="1">
        <f t="array" aca="1" ref="H18" ca="1">[1]!GetBusinessDate($G18,BusinessDayConv,IF(ISBLANK(HolidaySheet),HolidaySheet,INDIRECT("HolTbl"&amp;HolidaySheet&amp;"[Date]")))</f>
        <v>45286</v>
      </c>
      <c r="I18" s="15" t="str">
        <f t="shared" ca="1" si="0"/>
        <v>Weekend</v>
      </c>
    </row>
    <row r="19" spans="6:9" x14ac:dyDescent="0.25">
      <c r="F19" s="13" t="s">
        <v>26</v>
      </c>
      <c r="G19" s="14" cm="1">
        <f t="array" ref="G19">[1]!AddTerm(RefDate,F19)</f>
        <v>45298</v>
      </c>
      <c r="H19" s="34" cm="1">
        <f t="array" aca="1" ref="H19" ca="1">[1]!GetBusinessDate($G19,BusinessDayConv,IF(ISBLANK(HolidaySheet),HolidaySheet,INDIRECT("HolTbl"&amp;HolidaySheet&amp;"[Date]")))</f>
        <v>45299</v>
      </c>
      <c r="I19" s="15" t="str">
        <f t="shared" ca="1" si="0"/>
        <v>Weekend</v>
      </c>
    </row>
    <row r="20" spans="6:9" x14ac:dyDescent="0.25">
      <c r="F20" s="13" t="s">
        <v>27</v>
      </c>
      <c r="G20" s="14" cm="1">
        <f t="array" ref="G20">[1]!AddTerm(RefDate,F20)</f>
        <v>45314</v>
      </c>
      <c r="H20" s="34" cm="1">
        <f t="array" aca="1" ref="H20" ca="1">[1]!GetBusinessDate($G20,BusinessDayConv,IF(ISBLANK(HolidaySheet),HolidaySheet,INDIRECT("HolTbl"&amp;HolidaySheet&amp;"[Date]")))</f>
        <v>45314</v>
      </c>
      <c r="I20" s="15" t="str">
        <f t="shared" ca="1" si="0"/>
        <v>Good Business Date</v>
      </c>
    </row>
    <row r="21" spans="6:9" x14ac:dyDescent="0.25">
      <c r="F21" s="13" t="s">
        <v>28</v>
      </c>
      <c r="G21" s="14" cm="1">
        <f t="array" ref="G21">[1]!AddTerm(RefDate,F21)</f>
        <v>45345</v>
      </c>
      <c r="H21" s="34" cm="1">
        <f t="array" aca="1" ref="H21" ca="1">[1]!GetBusinessDate($G21,BusinessDayConv,IF(ISBLANK(HolidaySheet),HolidaySheet,INDIRECT("HolTbl"&amp;HolidaySheet&amp;"[Date]")))</f>
        <v>45345</v>
      </c>
      <c r="I21" s="15" t="str">
        <f t="shared" ca="1" si="0"/>
        <v>Good Business Date</v>
      </c>
    </row>
    <row r="22" spans="6:9" x14ac:dyDescent="0.25">
      <c r="F22" s="13" t="s">
        <v>29</v>
      </c>
      <c r="G22" s="14" cm="1">
        <f t="array" ref="G22">[1]!AddTerm(RefDate,F22)</f>
        <v>45374</v>
      </c>
      <c r="H22" s="34" cm="1">
        <f t="array" aca="1" ref="H22" ca="1">[1]!GetBusinessDate($G22,BusinessDayConv,IF(ISBLANK(HolidaySheet),HolidaySheet,INDIRECT("HolTbl"&amp;HolidaySheet&amp;"[Date]")))</f>
        <v>45376</v>
      </c>
      <c r="I22" s="15" t="str">
        <f t="shared" ca="1" si="0"/>
        <v>Weekend</v>
      </c>
    </row>
    <row r="23" spans="6:9" x14ac:dyDescent="0.25">
      <c r="F23" s="13" t="s">
        <v>30</v>
      </c>
      <c r="G23" s="14" cm="1">
        <f t="array" ref="G23">[1]!AddTerm(RefDate,F23)</f>
        <v>45405</v>
      </c>
      <c r="H23" s="34" cm="1">
        <f t="array" aca="1" ref="H23" ca="1">[1]!GetBusinessDate($G23,BusinessDayConv,IF(ISBLANK(HolidaySheet),HolidaySheet,INDIRECT("HolTbl"&amp;HolidaySheet&amp;"[Date]")))</f>
        <v>45405</v>
      </c>
      <c r="I23" s="15" t="str">
        <f t="shared" ca="1" si="0"/>
        <v>Good Business Date</v>
      </c>
    </row>
    <row r="24" spans="6:9" x14ac:dyDescent="0.25">
      <c r="F24" s="13" t="s">
        <v>31</v>
      </c>
      <c r="G24" s="14" cm="1">
        <f t="array" ref="G24">[1]!AddTerm(RefDate,F24)</f>
        <v>45435</v>
      </c>
      <c r="H24" s="34" cm="1">
        <f t="array" aca="1" ref="H24" ca="1">[1]!GetBusinessDate($G24,BusinessDayConv,IF(ISBLANK(HolidaySheet),HolidaySheet,INDIRECT("HolTbl"&amp;HolidaySheet&amp;"[Date]")))</f>
        <v>45435</v>
      </c>
      <c r="I24" s="15" t="str">
        <f t="shared" ca="1" si="0"/>
        <v>Good Business Date</v>
      </c>
    </row>
    <row r="25" spans="6:9" x14ac:dyDescent="0.25">
      <c r="F25" s="13" t="s">
        <v>32</v>
      </c>
      <c r="G25" s="14" cm="1">
        <f t="array" ref="G25">[1]!AddTerm(RefDate,F25)</f>
        <v>45466</v>
      </c>
      <c r="H25" s="34" cm="1">
        <f t="array" aca="1" ref="H25" ca="1">[1]!GetBusinessDate($G25,BusinessDayConv,IF(ISBLANK(HolidaySheet),HolidaySheet,INDIRECT("HolTbl"&amp;HolidaySheet&amp;"[Date]")))</f>
        <v>45467</v>
      </c>
      <c r="I25" s="15" t="str">
        <f t="shared" ca="1" si="0"/>
        <v>Weekend</v>
      </c>
    </row>
    <row r="26" spans="6:9" x14ac:dyDescent="0.25">
      <c r="F26" s="13" t="s">
        <v>33</v>
      </c>
      <c r="G26" s="14" cm="1">
        <f t="array" ref="G26">[1]!AddTerm(RefDate,F26)</f>
        <v>45496</v>
      </c>
      <c r="H26" s="34" cm="1">
        <f t="array" aca="1" ref="H26" ca="1">[1]!GetBusinessDate($G26,BusinessDayConv,IF(ISBLANK(HolidaySheet),HolidaySheet,INDIRECT("HolTbl"&amp;HolidaySheet&amp;"[Date]")))</f>
        <v>45496</v>
      </c>
      <c r="I26" s="15" t="str">
        <f t="shared" ca="1" si="0"/>
        <v>Good Business Date</v>
      </c>
    </row>
    <row r="27" spans="6:9" x14ac:dyDescent="0.25">
      <c r="F27" s="13" t="s">
        <v>34</v>
      </c>
      <c r="G27" s="14" cm="1">
        <f t="array" ref="G27">[1]!AddTerm(RefDate,F27)</f>
        <v>45527</v>
      </c>
      <c r="H27" s="34" cm="1">
        <f t="array" aca="1" ref="H27" ca="1">[1]!GetBusinessDate($G27,BusinessDayConv,IF(ISBLANK(HolidaySheet),HolidaySheet,INDIRECT("HolTbl"&amp;HolidaySheet&amp;"[Date]")))</f>
        <v>45527</v>
      </c>
      <c r="I27" s="15" t="str">
        <f t="shared" ca="1" si="0"/>
        <v>Good Business Date</v>
      </c>
    </row>
    <row r="28" spans="6:9" x14ac:dyDescent="0.25">
      <c r="F28" s="13" t="s">
        <v>35</v>
      </c>
      <c r="G28" s="14" cm="1">
        <f t="array" ref="G28">[1]!AddTerm(RefDate,F28)</f>
        <v>45558</v>
      </c>
      <c r="H28" s="34" cm="1">
        <f t="array" aca="1" ref="H28" ca="1">[1]!GetBusinessDate($G28,BusinessDayConv,IF(ISBLANK(HolidaySheet),HolidaySheet,INDIRECT("HolTbl"&amp;HolidaySheet&amp;"[Date]")))</f>
        <v>45558</v>
      </c>
      <c r="I28" s="15" t="str">
        <f t="shared" ca="1" si="0"/>
        <v>Good Business Date</v>
      </c>
    </row>
    <row r="29" spans="6:9" x14ac:dyDescent="0.25">
      <c r="F29" s="13" t="s">
        <v>36</v>
      </c>
      <c r="G29" s="14" cm="1">
        <f t="array" ref="G29">[1]!AddTerm(RefDate,F29)</f>
        <v>45588</v>
      </c>
      <c r="H29" s="34" cm="1">
        <f t="array" aca="1" ref="H29" ca="1">[1]!GetBusinessDate($G29,BusinessDayConv,IF(ISBLANK(HolidaySheet),HolidaySheet,INDIRECT("HolTbl"&amp;HolidaySheet&amp;"[Date]")))</f>
        <v>45588</v>
      </c>
      <c r="I29" s="15" t="str">
        <f t="shared" ca="1" si="0"/>
        <v>Good Business Date</v>
      </c>
    </row>
    <row r="30" spans="6:9" x14ac:dyDescent="0.25">
      <c r="F30" s="13" t="s">
        <v>37</v>
      </c>
      <c r="G30" s="14" cm="1">
        <f t="array" ref="G30">[1]!AddTerm(RefDate,F30)</f>
        <v>45619</v>
      </c>
      <c r="H30" s="34" cm="1">
        <f t="array" aca="1" ref="H30" ca="1">[1]!GetBusinessDate($G30,BusinessDayConv,IF(ISBLANK(HolidaySheet),HolidaySheet,INDIRECT("HolTbl"&amp;HolidaySheet&amp;"[Date]")))</f>
        <v>45621</v>
      </c>
      <c r="I30" s="15" t="str">
        <f t="shared" ca="1" si="0"/>
        <v>Weekend</v>
      </c>
    </row>
    <row r="31" spans="6:9" x14ac:dyDescent="0.25">
      <c r="F31" s="13" t="s">
        <v>38</v>
      </c>
      <c r="G31" s="14" cm="1">
        <f t="array" ref="G31">[1]!AddTerm(RefDate,F31)</f>
        <v>45800</v>
      </c>
      <c r="H31" s="34" cm="1">
        <f t="array" aca="1" ref="H31" ca="1">[1]!GetBusinessDate($G31,BusinessDayConv,IF(ISBLANK(HolidaySheet),HolidaySheet,INDIRECT("HolTbl"&amp;HolidaySheet&amp;"[Date]")))</f>
        <v>45800</v>
      </c>
      <c r="I31" s="15" t="str">
        <f t="shared" ca="1" si="0"/>
        <v>Good Business Date</v>
      </c>
    </row>
    <row r="32" spans="6:9" x14ac:dyDescent="0.25">
      <c r="F32" s="13" t="s">
        <v>39</v>
      </c>
      <c r="G32" s="14" cm="1">
        <f t="array" ref="G32">[1]!AddTerm(RefDate,F32)</f>
        <v>45984</v>
      </c>
      <c r="H32" s="34" cm="1">
        <f t="array" aca="1" ref="H32" ca="1">[1]!GetBusinessDate($G32,BusinessDayConv,IF(ISBLANK(HolidaySheet),HolidaySheet,INDIRECT("HolTbl"&amp;HolidaySheet&amp;"[Date]")))</f>
        <v>45985</v>
      </c>
      <c r="I32" s="15" t="str">
        <f t="shared" ca="1" si="0"/>
        <v>Weekend</v>
      </c>
    </row>
    <row r="33" spans="6:9" x14ac:dyDescent="0.25">
      <c r="F33" s="13" t="s">
        <v>40</v>
      </c>
      <c r="G33" s="14" cm="1">
        <f t="array" ref="G33">[1]!AddTerm(RefDate,F33)</f>
        <v>46349</v>
      </c>
      <c r="H33" s="34" cm="1">
        <f t="array" aca="1" ref="H33" ca="1">[1]!GetBusinessDate($G33,BusinessDayConv,IF(ISBLANK(HolidaySheet),HolidaySheet,INDIRECT("HolTbl"&amp;HolidaySheet&amp;"[Date]")))</f>
        <v>46349</v>
      </c>
      <c r="I33" s="15" t="str">
        <f t="shared" ca="1" si="0"/>
        <v>Good Business Date</v>
      </c>
    </row>
    <row r="34" spans="6:9" x14ac:dyDescent="0.25">
      <c r="F34" s="13" t="s">
        <v>41</v>
      </c>
      <c r="G34" s="14" cm="1">
        <f t="array" ref="G34">[1]!AddTerm(RefDate,F34)</f>
        <v>46714</v>
      </c>
      <c r="H34" s="34" cm="1">
        <f t="array" aca="1" ref="H34" ca="1">[1]!GetBusinessDate($G34,BusinessDayConv,IF(ISBLANK(HolidaySheet),HolidaySheet,INDIRECT("HolTbl"&amp;HolidaySheet&amp;"[Date]")))</f>
        <v>46714</v>
      </c>
      <c r="I34" s="15" t="str">
        <f t="shared" ca="1" si="0"/>
        <v>Good Business Date</v>
      </c>
    </row>
    <row r="35" spans="6:9" x14ac:dyDescent="0.25">
      <c r="F35" s="13" t="s">
        <v>42</v>
      </c>
      <c r="G35" s="14" cm="1">
        <f t="array" ref="G35">[1]!AddTerm(RefDate,F35)</f>
        <v>47080</v>
      </c>
      <c r="H35" s="34" cm="1">
        <f t="array" aca="1" ref="H35" ca="1">[1]!GetBusinessDate($G35,BusinessDayConv,IF(ISBLANK(HolidaySheet),HolidaySheet,INDIRECT("HolTbl"&amp;HolidaySheet&amp;"[Date]")))</f>
        <v>47081</v>
      </c>
      <c r="I35" s="15" t="str">
        <f t="shared" ca="1" si="0"/>
        <v>Thanksgiving Day</v>
      </c>
    </row>
    <row r="36" spans="6:9" x14ac:dyDescent="0.25">
      <c r="F36" s="13" t="s">
        <v>43</v>
      </c>
      <c r="G36" s="14" cm="1">
        <f t="array" ref="G36">[1]!AddTerm(RefDate,F36)</f>
        <v>47445</v>
      </c>
      <c r="H36" s="34" cm="1">
        <f t="array" aca="1" ref="H36" ca="1">[1]!GetBusinessDate($G36,BusinessDayConv,IF(ISBLANK(HolidaySheet),HolidaySheet,INDIRECT("HolTbl"&amp;HolidaySheet&amp;"[Date]")))</f>
        <v>47445</v>
      </c>
      <c r="I36" s="15" t="str">
        <f t="shared" ca="1" si="0"/>
        <v>Good Business Date</v>
      </c>
    </row>
    <row r="37" spans="6:9" x14ac:dyDescent="0.25">
      <c r="F37" s="13" t="s">
        <v>44</v>
      </c>
      <c r="G37" s="14" cm="1">
        <f t="array" ref="G37">[1]!AddTerm(RefDate,F37)</f>
        <v>47810</v>
      </c>
      <c r="H37" s="34" cm="1">
        <f t="array" aca="1" ref="H37" ca="1">[1]!GetBusinessDate($G37,BusinessDayConv,IF(ISBLANK(HolidaySheet),HolidaySheet,INDIRECT("HolTbl"&amp;HolidaySheet&amp;"[Date]")))</f>
        <v>47812</v>
      </c>
      <c r="I37" s="15" t="str">
        <f t="shared" ca="1" si="0"/>
        <v>Weekend</v>
      </c>
    </row>
    <row r="38" spans="6:9" x14ac:dyDescent="0.25">
      <c r="F38" s="13" t="s">
        <v>45</v>
      </c>
      <c r="G38" s="14" cm="1">
        <f t="array" ref="G38">[1]!AddTerm(RefDate,F38)</f>
        <v>48175</v>
      </c>
      <c r="H38" s="34" cm="1">
        <f t="array" aca="1" ref="H38" ca="1">[1]!GetBusinessDate($G38,BusinessDayConv,IF(ISBLANK(HolidaySheet),HolidaySheet,INDIRECT("HolTbl"&amp;HolidaySheet&amp;"[Date]")))</f>
        <v>48176</v>
      </c>
      <c r="I38" s="15" t="str">
        <f t="shared" ca="1" si="0"/>
        <v>Weekend</v>
      </c>
    </row>
    <row r="39" spans="6:9" x14ac:dyDescent="0.25">
      <c r="F39" s="13" t="s">
        <v>46</v>
      </c>
      <c r="G39" s="14" cm="1">
        <f t="array" ref="G39">[1]!AddTerm(RefDate,F39)</f>
        <v>48541</v>
      </c>
      <c r="H39" s="34" cm="1">
        <f t="array" aca="1" ref="H39" ca="1">[1]!GetBusinessDate($G39,BusinessDayConv,IF(ISBLANK(HolidaySheet),HolidaySheet,INDIRECT("HolTbl"&amp;HolidaySheet&amp;"[Date]")))</f>
        <v>48541</v>
      </c>
      <c r="I39" s="15" t="str">
        <f t="shared" ca="1" si="0"/>
        <v>Good Business Date</v>
      </c>
    </row>
    <row r="40" spans="6:9" x14ac:dyDescent="0.25">
      <c r="F40" s="13" t="s">
        <v>47</v>
      </c>
      <c r="G40" s="14" cm="1">
        <f t="array" ref="G40">[1]!AddTerm(RefDate,F40)</f>
        <v>48906</v>
      </c>
      <c r="H40" s="34" cm="1">
        <f t="array" aca="1" ref="H40" ca="1">[1]!GetBusinessDate($G40,BusinessDayConv,IF(ISBLANK(HolidaySheet),HolidaySheet,INDIRECT("HolTbl"&amp;HolidaySheet&amp;"[Date]")))</f>
        <v>48906</v>
      </c>
      <c r="I40" s="15" t="str">
        <f t="shared" ca="1" si="0"/>
        <v>Good Business Date</v>
      </c>
    </row>
    <row r="41" spans="6:9" x14ac:dyDescent="0.25">
      <c r="F41" s="13" t="s">
        <v>48</v>
      </c>
      <c r="G41" s="14" cm="1">
        <f t="array" ref="G41">[1]!AddTerm(RefDate,F41)</f>
        <v>49271</v>
      </c>
      <c r="H41" s="34" cm="1">
        <f t="array" aca="1" ref="H41" ca="1">[1]!GetBusinessDate($G41,BusinessDayConv,IF(ISBLANK(HolidaySheet),HolidaySheet,INDIRECT("HolTbl"&amp;HolidaySheet&amp;"[Date]")))</f>
        <v>49272</v>
      </c>
      <c r="I41" s="15" t="str">
        <f t="shared" ca="1" si="0"/>
        <v>Thanksgiving Day</v>
      </c>
    </row>
    <row r="42" spans="6:9" x14ac:dyDescent="0.25">
      <c r="F42" s="13" t="s">
        <v>49</v>
      </c>
      <c r="G42" s="14" cm="1">
        <f t="array" ref="G42">[1]!AddTerm(RefDate,F42)</f>
        <v>49636</v>
      </c>
      <c r="H42" s="34" cm="1">
        <f t="array" aca="1" ref="H42" ca="1">[1]!GetBusinessDate($G42,BusinessDayConv,IF(ISBLANK(HolidaySheet),HolidaySheet,INDIRECT("HolTbl"&amp;HolidaySheet&amp;"[Date]")))</f>
        <v>49636</v>
      </c>
      <c r="I42" s="15" t="str">
        <f t="shared" ca="1" si="0"/>
        <v>Good Business Date</v>
      </c>
    </row>
    <row r="43" spans="6:9" x14ac:dyDescent="0.25">
      <c r="F43" s="13" t="s">
        <v>50</v>
      </c>
      <c r="G43" s="14" cm="1">
        <f t="array" ref="G43">[1]!AddTerm(RefDate,F43)</f>
        <v>50002</v>
      </c>
      <c r="H43" s="34" cm="1">
        <f t="array" aca="1" ref="H43" ca="1">[1]!GetBusinessDate($G43,BusinessDayConv,IF(ISBLANK(HolidaySheet),HolidaySheet,INDIRECT("HolTbl"&amp;HolidaySheet&amp;"[Date]")))</f>
        <v>50003</v>
      </c>
      <c r="I43" s="15" t="str">
        <f t="shared" ca="1" si="0"/>
        <v>Weekend</v>
      </c>
    </row>
    <row r="44" spans="6:9" x14ac:dyDescent="0.25">
      <c r="F44" s="13" t="s">
        <v>51</v>
      </c>
      <c r="G44" s="14" cm="1">
        <f t="array" ref="G44">[1]!AddTerm(RefDate,F44)</f>
        <v>50367</v>
      </c>
      <c r="H44" s="34" cm="1">
        <f t="array" aca="1" ref="H44" ca="1">[1]!GetBusinessDate($G44,BusinessDayConv,IF(ISBLANK(HolidaySheet),HolidaySheet,INDIRECT("HolTbl"&amp;HolidaySheet&amp;"[Date]")))</f>
        <v>50367</v>
      </c>
      <c r="I44" s="15" t="str">
        <f t="shared" ca="1" si="0"/>
        <v>Good Business Date</v>
      </c>
    </row>
    <row r="45" spans="6:9" x14ac:dyDescent="0.25">
      <c r="F45" s="13" t="s">
        <v>52</v>
      </c>
      <c r="G45" s="14" cm="1">
        <f t="array" ref="G45">[1]!AddTerm(RefDate,F45)</f>
        <v>50732</v>
      </c>
      <c r="H45" s="34" cm="1">
        <f t="array" aca="1" ref="H45" ca="1">[1]!GetBusinessDate($G45,BusinessDayConv,IF(ISBLANK(HolidaySheet),HolidaySheet,INDIRECT("HolTbl"&amp;HolidaySheet&amp;"[Date]")))</f>
        <v>50732</v>
      </c>
      <c r="I45" s="15" t="str">
        <f t="shared" ca="1" si="0"/>
        <v>Good Business Date</v>
      </c>
    </row>
    <row r="46" spans="6:9" x14ac:dyDescent="0.25">
      <c r="F46" s="13" t="s">
        <v>53</v>
      </c>
      <c r="G46" s="14" cm="1">
        <f t="array" ref="G46">[1]!AddTerm(RefDate,F46)</f>
        <v>51097</v>
      </c>
      <c r="H46" s="34" cm="1">
        <f t="array" aca="1" ref="H46" ca="1">[1]!GetBusinessDate($G46,BusinessDayConv,IF(ISBLANK(HolidaySheet),HolidaySheet,INDIRECT("HolTbl"&amp;HolidaySheet&amp;"[Date]")))</f>
        <v>51097</v>
      </c>
      <c r="I46" s="15" t="str">
        <f t="shared" ca="1" si="0"/>
        <v>Good Business Date</v>
      </c>
    </row>
    <row r="47" spans="6:9" x14ac:dyDescent="0.25">
      <c r="F47" s="13" t="s">
        <v>54</v>
      </c>
      <c r="G47" s="14" cm="1">
        <f t="array" ref="G47">[1]!AddTerm(RefDate,F47)</f>
        <v>51463</v>
      </c>
      <c r="H47" s="34" cm="1">
        <f t="array" aca="1" ref="H47" ca="1">[1]!GetBusinessDate($G47,BusinessDayConv,IF(ISBLANK(HolidaySheet),HolidaySheet,INDIRECT("HolTbl"&amp;HolidaySheet&amp;"[Date]")))</f>
        <v>51463</v>
      </c>
      <c r="I47" s="15" t="str">
        <f t="shared" ca="1" si="0"/>
        <v>Good Business Date</v>
      </c>
    </row>
    <row r="48" spans="6:9" x14ac:dyDescent="0.25">
      <c r="F48" s="13" t="s">
        <v>55</v>
      </c>
      <c r="G48" s="14" cm="1">
        <f t="array" ref="G48">[1]!AddTerm(RefDate,F48)</f>
        <v>51828</v>
      </c>
      <c r="H48" s="34" cm="1">
        <f t="array" aca="1" ref="H48" ca="1">[1]!GetBusinessDate($G48,BusinessDayConv,IF(ISBLANK(HolidaySheet),HolidaySheet,INDIRECT("HolTbl"&amp;HolidaySheet&amp;"[Date]")))</f>
        <v>51830</v>
      </c>
      <c r="I48" s="15" t="str">
        <f t="shared" ca="1" si="0"/>
        <v>Weekend</v>
      </c>
    </row>
    <row r="49" spans="6:9" x14ac:dyDescent="0.25">
      <c r="F49" s="13" t="s">
        <v>56</v>
      </c>
      <c r="G49" s="14" cm="1">
        <f t="array" ref="G49">[1]!AddTerm(RefDate,F49)</f>
        <v>52193</v>
      </c>
      <c r="H49" s="34" cm="1">
        <f t="array" aca="1" ref="H49" ca="1">[1]!GetBusinessDate($G49,BusinessDayConv,IF(ISBLANK(HolidaySheet),HolidaySheet,INDIRECT("HolTbl"&amp;HolidaySheet&amp;"[Date]")))</f>
        <v>52194</v>
      </c>
      <c r="I49" s="15" t="str">
        <f t="shared" ca="1" si="0"/>
        <v>Weekend</v>
      </c>
    </row>
    <row r="50" spans="6:9" ht="15.75" thickBot="1" x14ac:dyDescent="0.3">
      <c r="F50" s="16" t="s">
        <v>57</v>
      </c>
      <c r="G50" s="26" cm="1">
        <f t="array" ref="G50">[1]!AddTerm(RefDate,F50)</f>
        <v>52558</v>
      </c>
      <c r="H50" s="35" cm="1">
        <f t="array" aca="1" ref="H50" ca="1">[1]!GetBusinessDate($G50,BusinessDayConv,IF(ISBLANK(HolidaySheet),HolidaySheet,INDIRECT("HolTbl"&amp;HolidaySheet&amp;"[Date]")))</f>
        <v>52558</v>
      </c>
      <c r="I50" s="27" t="str">
        <f t="shared" ca="1" si="0"/>
        <v>Good Business Date</v>
      </c>
    </row>
  </sheetData>
  <mergeCells count="2">
    <mergeCell ref="B2:I2"/>
    <mergeCell ref="M2:N2"/>
  </mergeCells>
  <conditionalFormatting sqref="H11:I50">
    <cfRule type="expression" dxfId="1" priority="6">
      <formula>$G11&lt;&gt;$H11</formula>
    </cfRule>
  </conditionalFormatting>
  <conditionalFormatting sqref="I11:I50">
    <cfRule type="expression" dxfId="0" priority="5">
      <formula>AND($I11&lt;&gt;"Weekend",$I11&lt;&gt;$H$10)</formula>
    </cfRule>
  </conditionalFormatting>
  <dataValidations count="2">
    <dataValidation type="list" allowBlank="1" showInputMessage="1" showErrorMessage="1" sqref="G7:H7" xr:uid="{00000000-0002-0000-0100-000000000000}">
      <formula1>ConventionSymbols</formula1>
    </dataValidation>
    <dataValidation type="list" allowBlank="1" showInputMessage="1" showErrorMessage="1" sqref="G8" xr:uid="{E5AB98C0-813D-49B8-B37D-89CAEA2D4318}">
      <formula1>HolScheduleSheets</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4097" r:id="rId4" name="cmdAddHolSheet">
          <controlPr defaultSize="0" autoLine="0" r:id="rId5">
            <anchor moveWithCells="1">
              <from>
                <xdr:col>2</xdr:col>
                <xdr:colOff>76200</xdr:colOff>
                <xdr:row>8</xdr:row>
                <xdr:rowOff>19050</xdr:rowOff>
              </from>
              <to>
                <xdr:col>2</xdr:col>
                <xdr:colOff>1857375</xdr:colOff>
                <xdr:row>10</xdr:row>
                <xdr:rowOff>114300</xdr:rowOff>
              </to>
            </anchor>
          </controlPr>
        </control>
      </mc:Choice>
      <mc:Fallback>
        <control shapeId="4097" r:id="rId4" name="cmdAddHolSheet"/>
      </mc:Fallback>
    </mc:AlternateContent>
  </controls>
  <tableParts count="2">
    <tablePart r:id="rId6"/>
    <tablePart r:id="rId7"/>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24A8E-679D-454F-8E11-4F846BD10788}">
  <sheetPr codeName="wsHolidays1"/>
  <dimension ref="A1:M260"/>
  <sheetViews>
    <sheetView showGridLines="0" topLeftCell="B1" zoomScale="90" zoomScaleNormal="90" workbookViewId="0">
      <selection activeCell="M4" sqref="M4"/>
    </sheetView>
  </sheetViews>
  <sheetFormatPr defaultRowHeight="15" x14ac:dyDescent="0.25"/>
  <cols>
    <col min="1" max="1" width="0" hidden="1" customWidth="1"/>
    <col min="3" max="3" width="26.5703125" bestFit="1" customWidth="1"/>
    <col min="4" max="4" width="16.28515625" bestFit="1" customWidth="1"/>
    <col min="5" max="5" width="18.28515625" bestFit="1" customWidth="1"/>
    <col min="6" max="6" width="13.42578125" bestFit="1" customWidth="1"/>
    <col min="7" max="7" width="16.5703125" bestFit="1" customWidth="1"/>
    <col min="8" max="9" width="16.5703125" customWidth="1"/>
    <col min="12" max="12" width="30.42578125" bestFit="1" customWidth="1"/>
    <col min="13" max="13" width="11.5703125" bestFit="1" customWidth="1"/>
  </cols>
  <sheetData>
    <row r="1" spans="1:13" x14ac:dyDescent="0.25">
      <c r="A1" s="40" t="s">
        <v>65</v>
      </c>
    </row>
    <row r="2" spans="1:13" ht="15.75" x14ac:dyDescent="0.25">
      <c r="C2" s="5" t="s">
        <v>9</v>
      </c>
      <c r="L2" s="5" t="s">
        <v>69</v>
      </c>
    </row>
    <row r="4" spans="1:13" x14ac:dyDescent="0.25">
      <c r="C4" s="3" t="s">
        <v>10</v>
      </c>
      <c r="D4" s="3" t="s">
        <v>68</v>
      </c>
      <c r="E4" s="3" t="s">
        <v>70</v>
      </c>
      <c r="F4" s="3" t="s">
        <v>71</v>
      </c>
      <c r="G4" s="3" t="s">
        <v>73</v>
      </c>
      <c r="H4" s="3" t="s">
        <v>72</v>
      </c>
      <c r="I4" s="3" t="s">
        <v>11</v>
      </c>
      <c r="L4" s="1" t="s">
        <v>12</v>
      </c>
      <c r="M4" s="2">
        <v>2043</v>
      </c>
    </row>
    <row r="5" spans="1:13" x14ac:dyDescent="0.25">
      <c r="C5" t="s">
        <v>84</v>
      </c>
      <c r="D5">
        <v>1</v>
      </c>
      <c r="E5" t="s">
        <v>72</v>
      </c>
      <c r="F5" t="s">
        <v>85</v>
      </c>
      <c r="G5" t="s">
        <v>86</v>
      </c>
      <c r="I5" t="s">
        <v>87</v>
      </c>
    </row>
    <row r="6" spans="1:13" x14ac:dyDescent="0.25">
      <c r="C6" t="s">
        <v>88</v>
      </c>
      <c r="D6">
        <v>3</v>
      </c>
      <c r="E6" t="s">
        <v>87</v>
      </c>
      <c r="F6" t="s">
        <v>85</v>
      </c>
      <c r="G6" t="s">
        <v>86</v>
      </c>
    </row>
    <row r="7" spans="1:13" x14ac:dyDescent="0.25">
      <c r="C7" t="s">
        <v>89</v>
      </c>
      <c r="D7">
        <v>3</v>
      </c>
      <c r="E7" t="s">
        <v>87</v>
      </c>
      <c r="F7" t="s">
        <v>85</v>
      </c>
      <c r="G7" t="s">
        <v>90</v>
      </c>
    </row>
    <row r="8" spans="1:13" x14ac:dyDescent="0.25">
      <c r="C8" t="s">
        <v>91</v>
      </c>
      <c r="E8" t="s">
        <v>116</v>
      </c>
      <c r="F8" t="s">
        <v>92</v>
      </c>
      <c r="H8" t="s">
        <v>93</v>
      </c>
      <c r="L8" s="4" t="s">
        <v>10</v>
      </c>
      <c r="M8" s="4" t="s">
        <v>13</v>
      </c>
    </row>
    <row r="9" spans="1:13" x14ac:dyDescent="0.25">
      <c r="C9" t="s">
        <v>94</v>
      </c>
      <c r="D9" t="s">
        <v>95</v>
      </c>
      <c r="E9" t="s">
        <v>87</v>
      </c>
      <c r="F9" t="s">
        <v>85</v>
      </c>
      <c r="G9" t="s">
        <v>96</v>
      </c>
      <c r="L9" t="s">
        <v>84</v>
      </c>
      <c r="M9" s="46">
        <v>44928</v>
      </c>
    </row>
    <row r="10" spans="1:13" x14ac:dyDescent="0.25">
      <c r="C10" t="s">
        <v>97</v>
      </c>
      <c r="D10">
        <v>19</v>
      </c>
      <c r="E10" t="s">
        <v>72</v>
      </c>
      <c r="F10" t="s">
        <v>85</v>
      </c>
      <c r="G10" t="s">
        <v>98</v>
      </c>
      <c r="I10" t="s">
        <v>99</v>
      </c>
      <c r="L10" t="s">
        <v>88</v>
      </c>
      <c r="M10" s="46">
        <v>44942</v>
      </c>
    </row>
    <row r="11" spans="1:13" x14ac:dyDescent="0.25">
      <c r="C11" t="s">
        <v>100</v>
      </c>
      <c r="D11">
        <v>4</v>
      </c>
      <c r="E11" t="s">
        <v>72</v>
      </c>
      <c r="F11" t="s">
        <v>85</v>
      </c>
      <c r="G11" t="s">
        <v>101</v>
      </c>
      <c r="I11" t="s">
        <v>99</v>
      </c>
      <c r="L11" t="s">
        <v>89</v>
      </c>
      <c r="M11" s="46">
        <v>44977</v>
      </c>
    </row>
    <row r="12" spans="1:13" x14ac:dyDescent="0.25">
      <c r="C12" t="s">
        <v>102</v>
      </c>
      <c r="D12">
        <v>1</v>
      </c>
      <c r="E12" t="s">
        <v>87</v>
      </c>
      <c r="F12" t="s">
        <v>85</v>
      </c>
      <c r="G12" t="s">
        <v>103</v>
      </c>
      <c r="L12" t="s">
        <v>91</v>
      </c>
      <c r="M12" s="46">
        <v>45023</v>
      </c>
    </row>
    <row r="13" spans="1:13" x14ac:dyDescent="0.25">
      <c r="C13" t="s">
        <v>104</v>
      </c>
      <c r="D13">
        <v>2</v>
      </c>
      <c r="E13" t="s">
        <v>87</v>
      </c>
      <c r="F13" t="s">
        <v>85</v>
      </c>
      <c r="G13" t="s">
        <v>105</v>
      </c>
      <c r="L13" t="s">
        <v>94</v>
      </c>
      <c r="M13" s="46">
        <v>45075</v>
      </c>
    </row>
    <row r="14" spans="1:13" x14ac:dyDescent="0.25">
      <c r="C14" t="s">
        <v>106</v>
      </c>
      <c r="D14">
        <v>11</v>
      </c>
      <c r="E14" t="s">
        <v>72</v>
      </c>
      <c r="F14" t="s">
        <v>85</v>
      </c>
      <c r="G14" t="s">
        <v>107</v>
      </c>
      <c r="I14" t="s">
        <v>99</v>
      </c>
      <c r="L14" t="s">
        <v>97</v>
      </c>
      <c r="M14" s="46">
        <v>45096</v>
      </c>
    </row>
    <row r="15" spans="1:13" x14ac:dyDescent="0.25">
      <c r="C15" t="s">
        <v>108</v>
      </c>
      <c r="D15">
        <v>4</v>
      </c>
      <c r="E15" t="s">
        <v>109</v>
      </c>
      <c r="F15" t="s">
        <v>85</v>
      </c>
      <c r="G15" t="s">
        <v>107</v>
      </c>
      <c r="L15" t="s">
        <v>100</v>
      </c>
      <c r="M15" s="46">
        <v>45111</v>
      </c>
    </row>
    <row r="16" spans="1:13" x14ac:dyDescent="0.25">
      <c r="C16" t="s">
        <v>110</v>
      </c>
      <c r="D16">
        <v>25</v>
      </c>
      <c r="E16" t="s">
        <v>72</v>
      </c>
      <c r="F16" t="s">
        <v>85</v>
      </c>
      <c r="G16" t="s">
        <v>111</v>
      </c>
      <c r="I16" t="s">
        <v>99</v>
      </c>
      <c r="L16" t="s">
        <v>102</v>
      </c>
      <c r="M16" s="46">
        <v>45173</v>
      </c>
    </row>
    <row r="17" spans="12:13" x14ac:dyDescent="0.25">
      <c r="L17" t="s">
        <v>104</v>
      </c>
      <c r="M17" s="46">
        <v>45208</v>
      </c>
    </row>
    <row r="18" spans="12:13" x14ac:dyDescent="0.25">
      <c r="L18" t="s">
        <v>106</v>
      </c>
      <c r="M18" s="46">
        <v>45240</v>
      </c>
    </row>
    <row r="19" spans="12:13" x14ac:dyDescent="0.25">
      <c r="L19" t="s">
        <v>108</v>
      </c>
      <c r="M19" s="46">
        <v>45253</v>
      </c>
    </row>
    <row r="20" spans="12:13" x14ac:dyDescent="0.25">
      <c r="L20" t="s">
        <v>110</v>
      </c>
      <c r="M20" s="46">
        <v>45285</v>
      </c>
    </row>
    <row r="21" spans="12:13" x14ac:dyDescent="0.25">
      <c r="L21" t="s">
        <v>84</v>
      </c>
      <c r="M21" s="46">
        <v>45292</v>
      </c>
    </row>
    <row r="22" spans="12:13" x14ac:dyDescent="0.25">
      <c r="L22" t="s">
        <v>88</v>
      </c>
      <c r="M22" s="46">
        <v>45306</v>
      </c>
    </row>
    <row r="23" spans="12:13" x14ac:dyDescent="0.25">
      <c r="L23" t="s">
        <v>89</v>
      </c>
      <c r="M23" s="46">
        <v>45341</v>
      </c>
    </row>
    <row r="24" spans="12:13" x14ac:dyDescent="0.25">
      <c r="L24" t="s">
        <v>91</v>
      </c>
      <c r="M24" s="46">
        <v>45380</v>
      </c>
    </row>
    <row r="25" spans="12:13" x14ac:dyDescent="0.25">
      <c r="L25" t="s">
        <v>94</v>
      </c>
      <c r="M25" s="46">
        <v>45439</v>
      </c>
    </row>
    <row r="26" spans="12:13" x14ac:dyDescent="0.25">
      <c r="L26" t="s">
        <v>97</v>
      </c>
      <c r="M26" s="46">
        <v>45462</v>
      </c>
    </row>
    <row r="27" spans="12:13" x14ac:dyDescent="0.25">
      <c r="L27" t="s">
        <v>100</v>
      </c>
      <c r="M27" s="46">
        <v>45477</v>
      </c>
    </row>
    <row r="28" spans="12:13" x14ac:dyDescent="0.25">
      <c r="L28" t="s">
        <v>102</v>
      </c>
      <c r="M28" s="46">
        <v>45537</v>
      </c>
    </row>
    <row r="29" spans="12:13" x14ac:dyDescent="0.25">
      <c r="L29" t="s">
        <v>104</v>
      </c>
      <c r="M29" s="46">
        <v>45579</v>
      </c>
    </row>
    <row r="30" spans="12:13" x14ac:dyDescent="0.25">
      <c r="L30" t="s">
        <v>106</v>
      </c>
      <c r="M30" s="46">
        <v>45607</v>
      </c>
    </row>
    <row r="31" spans="12:13" x14ac:dyDescent="0.25">
      <c r="L31" t="s">
        <v>108</v>
      </c>
      <c r="M31" s="46">
        <v>45624</v>
      </c>
    </row>
    <row r="32" spans="12:13" x14ac:dyDescent="0.25">
      <c r="L32" t="s">
        <v>110</v>
      </c>
      <c r="M32" s="46">
        <v>45651</v>
      </c>
    </row>
    <row r="33" spans="12:13" x14ac:dyDescent="0.25">
      <c r="L33" t="s">
        <v>84</v>
      </c>
      <c r="M33" s="46">
        <v>45658</v>
      </c>
    </row>
    <row r="34" spans="12:13" x14ac:dyDescent="0.25">
      <c r="L34" t="s">
        <v>88</v>
      </c>
      <c r="M34" s="46">
        <v>45677</v>
      </c>
    </row>
    <row r="35" spans="12:13" x14ac:dyDescent="0.25">
      <c r="L35" t="s">
        <v>89</v>
      </c>
      <c r="M35" s="46">
        <v>45705</v>
      </c>
    </row>
    <row r="36" spans="12:13" x14ac:dyDescent="0.25">
      <c r="L36" t="s">
        <v>91</v>
      </c>
      <c r="M36" s="46">
        <v>45765</v>
      </c>
    </row>
    <row r="37" spans="12:13" x14ac:dyDescent="0.25">
      <c r="L37" t="s">
        <v>94</v>
      </c>
      <c r="M37" s="46">
        <v>45803</v>
      </c>
    </row>
    <row r="38" spans="12:13" x14ac:dyDescent="0.25">
      <c r="L38" t="s">
        <v>97</v>
      </c>
      <c r="M38" s="46">
        <v>45827</v>
      </c>
    </row>
    <row r="39" spans="12:13" x14ac:dyDescent="0.25">
      <c r="L39" t="s">
        <v>100</v>
      </c>
      <c r="M39" s="46">
        <v>45842</v>
      </c>
    </row>
    <row r="40" spans="12:13" x14ac:dyDescent="0.25">
      <c r="L40" t="s">
        <v>102</v>
      </c>
      <c r="M40" s="46">
        <v>45901</v>
      </c>
    </row>
    <row r="41" spans="12:13" x14ac:dyDescent="0.25">
      <c r="L41" t="s">
        <v>104</v>
      </c>
      <c r="M41" s="46">
        <v>45943</v>
      </c>
    </row>
    <row r="42" spans="12:13" x14ac:dyDescent="0.25">
      <c r="L42" t="s">
        <v>106</v>
      </c>
      <c r="M42" s="46">
        <v>45972</v>
      </c>
    </row>
    <row r="43" spans="12:13" x14ac:dyDescent="0.25">
      <c r="L43" t="s">
        <v>108</v>
      </c>
      <c r="M43" s="46">
        <v>45988</v>
      </c>
    </row>
    <row r="44" spans="12:13" x14ac:dyDescent="0.25">
      <c r="L44" t="s">
        <v>110</v>
      </c>
      <c r="M44" s="46">
        <v>46016</v>
      </c>
    </row>
    <row r="45" spans="12:13" x14ac:dyDescent="0.25">
      <c r="L45" t="s">
        <v>84</v>
      </c>
      <c r="M45" s="46">
        <v>46023</v>
      </c>
    </row>
    <row r="46" spans="12:13" x14ac:dyDescent="0.25">
      <c r="L46" t="s">
        <v>88</v>
      </c>
      <c r="M46" s="46">
        <v>46041</v>
      </c>
    </row>
    <row r="47" spans="12:13" x14ac:dyDescent="0.25">
      <c r="L47" t="s">
        <v>89</v>
      </c>
      <c r="M47" s="46">
        <v>46069</v>
      </c>
    </row>
    <row r="48" spans="12:13" x14ac:dyDescent="0.25">
      <c r="L48" t="s">
        <v>91</v>
      </c>
      <c r="M48" s="46">
        <v>46115</v>
      </c>
    </row>
    <row r="49" spans="12:13" x14ac:dyDescent="0.25">
      <c r="L49" t="s">
        <v>94</v>
      </c>
      <c r="M49" s="46">
        <v>46167</v>
      </c>
    </row>
    <row r="50" spans="12:13" x14ac:dyDescent="0.25">
      <c r="L50" t="s">
        <v>97</v>
      </c>
      <c r="M50" s="46">
        <v>46192</v>
      </c>
    </row>
    <row r="51" spans="12:13" x14ac:dyDescent="0.25">
      <c r="L51" t="s">
        <v>100</v>
      </c>
      <c r="M51" s="46">
        <v>46206</v>
      </c>
    </row>
    <row r="52" spans="12:13" x14ac:dyDescent="0.25">
      <c r="L52" t="s">
        <v>102</v>
      </c>
      <c r="M52" s="46">
        <v>46272</v>
      </c>
    </row>
    <row r="53" spans="12:13" x14ac:dyDescent="0.25">
      <c r="L53" t="s">
        <v>104</v>
      </c>
      <c r="M53" s="46">
        <v>46307</v>
      </c>
    </row>
    <row r="54" spans="12:13" x14ac:dyDescent="0.25">
      <c r="L54" t="s">
        <v>106</v>
      </c>
      <c r="M54" s="46">
        <v>46337</v>
      </c>
    </row>
    <row r="55" spans="12:13" x14ac:dyDescent="0.25">
      <c r="L55" t="s">
        <v>108</v>
      </c>
      <c r="M55" s="46">
        <v>46352</v>
      </c>
    </row>
    <row r="56" spans="12:13" x14ac:dyDescent="0.25">
      <c r="L56" t="s">
        <v>110</v>
      </c>
      <c r="M56" s="46">
        <v>46381</v>
      </c>
    </row>
    <row r="57" spans="12:13" x14ac:dyDescent="0.25">
      <c r="L57" t="s">
        <v>84</v>
      </c>
      <c r="M57" s="46">
        <v>46388</v>
      </c>
    </row>
    <row r="58" spans="12:13" x14ac:dyDescent="0.25">
      <c r="L58" t="s">
        <v>88</v>
      </c>
      <c r="M58" s="46">
        <v>46405</v>
      </c>
    </row>
    <row r="59" spans="12:13" x14ac:dyDescent="0.25">
      <c r="L59" t="s">
        <v>89</v>
      </c>
      <c r="M59" s="46">
        <v>46433</v>
      </c>
    </row>
    <row r="60" spans="12:13" x14ac:dyDescent="0.25">
      <c r="L60" t="s">
        <v>91</v>
      </c>
      <c r="M60" s="46">
        <v>46472</v>
      </c>
    </row>
    <row r="61" spans="12:13" x14ac:dyDescent="0.25">
      <c r="L61" t="s">
        <v>94</v>
      </c>
      <c r="M61" s="46">
        <v>46538</v>
      </c>
    </row>
    <row r="62" spans="12:13" x14ac:dyDescent="0.25">
      <c r="L62" t="s">
        <v>97</v>
      </c>
      <c r="M62" s="46">
        <v>46556</v>
      </c>
    </row>
    <row r="63" spans="12:13" x14ac:dyDescent="0.25">
      <c r="L63" t="s">
        <v>100</v>
      </c>
      <c r="M63" s="46">
        <v>46573</v>
      </c>
    </row>
    <row r="64" spans="12:13" x14ac:dyDescent="0.25">
      <c r="L64" t="s">
        <v>102</v>
      </c>
      <c r="M64" s="46">
        <v>46636</v>
      </c>
    </row>
    <row r="65" spans="12:13" x14ac:dyDescent="0.25">
      <c r="L65" t="s">
        <v>104</v>
      </c>
      <c r="M65" s="46">
        <v>46671</v>
      </c>
    </row>
    <row r="66" spans="12:13" x14ac:dyDescent="0.25">
      <c r="L66" t="s">
        <v>106</v>
      </c>
      <c r="M66" s="46">
        <v>46702</v>
      </c>
    </row>
    <row r="67" spans="12:13" x14ac:dyDescent="0.25">
      <c r="L67" t="s">
        <v>108</v>
      </c>
      <c r="M67" s="46">
        <v>46716</v>
      </c>
    </row>
    <row r="68" spans="12:13" x14ac:dyDescent="0.25">
      <c r="L68" t="s">
        <v>110</v>
      </c>
      <c r="M68" s="46">
        <v>46745</v>
      </c>
    </row>
    <row r="69" spans="12:13" x14ac:dyDescent="0.25">
      <c r="L69" t="s">
        <v>84</v>
      </c>
      <c r="M69" s="46">
        <v>46755</v>
      </c>
    </row>
    <row r="70" spans="12:13" x14ac:dyDescent="0.25">
      <c r="L70" t="s">
        <v>88</v>
      </c>
      <c r="M70" s="46">
        <v>46769</v>
      </c>
    </row>
    <row r="71" spans="12:13" x14ac:dyDescent="0.25">
      <c r="L71" t="s">
        <v>89</v>
      </c>
      <c r="M71" s="46">
        <v>46804</v>
      </c>
    </row>
    <row r="72" spans="12:13" x14ac:dyDescent="0.25">
      <c r="L72" t="s">
        <v>91</v>
      </c>
      <c r="M72" s="46">
        <v>46857</v>
      </c>
    </row>
    <row r="73" spans="12:13" x14ac:dyDescent="0.25">
      <c r="L73" t="s">
        <v>94</v>
      </c>
      <c r="M73" s="46">
        <v>46902</v>
      </c>
    </row>
    <row r="74" spans="12:13" x14ac:dyDescent="0.25">
      <c r="L74" t="s">
        <v>97</v>
      </c>
      <c r="M74" s="46">
        <v>46923</v>
      </c>
    </row>
    <row r="75" spans="12:13" x14ac:dyDescent="0.25">
      <c r="L75" t="s">
        <v>100</v>
      </c>
      <c r="M75" s="46">
        <v>46938</v>
      </c>
    </row>
    <row r="76" spans="12:13" x14ac:dyDescent="0.25">
      <c r="L76" t="s">
        <v>102</v>
      </c>
      <c r="M76" s="46">
        <v>47000</v>
      </c>
    </row>
    <row r="77" spans="12:13" x14ac:dyDescent="0.25">
      <c r="L77" t="s">
        <v>104</v>
      </c>
      <c r="M77" s="46">
        <v>47035</v>
      </c>
    </row>
    <row r="78" spans="12:13" x14ac:dyDescent="0.25">
      <c r="L78" t="s">
        <v>106</v>
      </c>
      <c r="M78" s="46">
        <v>47067</v>
      </c>
    </row>
    <row r="79" spans="12:13" x14ac:dyDescent="0.25">
      <c r="L79" t="s">
        <v>108</v>
      </c>
      <c r="M79" s="46">
        <v>47080</v>
      </c>
    </row>
    <row r="80" spans="12:13" x14ac:dyDescent="0.25">
      <c r="L80" t="s">
        <v>110</v>
      </c>
      <c r="M80" s="46">
        <v>47112</v>
      </c>
    </row>
    <row r="81" spans="12:13" x14ac:dyDescent="0.25">
      <c r="L81" t="s">
        <v>84</v>
      </c>
      <c r="M81" s="46">
        <v>47119</v>
      </c>
    </row>
    <row r="82" spans="12:13" x14ac:dyDescent="0.25">
      <c r="L82" t="s">
        <v>88</v>
      </c>
      <c r="M82" s="46">
        <v>47133</v>
      </c>
    </row>
    <row r="83" spans="12:13" x14ac:dyDescent="0.25">
      <c r="L83" t="s">
        <v>89</v>
      </c>
      <c r="M83" s="46">
        <v>47168</v>
      </c>
    </row>
    <row r="84" spans="12:13" x14ac:dyDescent="0.25">
      <c r="L84" t="s">
        <v>91</v>
      </c>
      <c r="M84" s="46">
        <v>47207</v>
      </c>
    </row>
    <row r="85" spans="12:13" x14ac:dyDescent="0.25">
      <c r="L85" t="s">
        <v>94</v>
      </c>
      <c r="M85" s="46">
        <v>47266</v>
      </c>
    </row>
    <row r="86" spans="12:13" x14ac:dyDescent="0.25">
      <c r="L86" t="s">
        <v>97</v>
      </c>
      <c r="M86" s="46">
        <v>47288</v>
      </c>
    </row>
    <row r="87" spans="12:13" x14ac:dyDescent="0.25">
      <c r="L87" t="s">
        <v>100</v>
      </c>
      <c r="M87" s="46">
        <v>47303</v>
      </c>
    </row>
    <row r="88" spans="12:13" x14ac:dyDescent="0.25">
      <c r="L88" t="s">
        <v>102</v>
      </c>
      <c r="M88" s="46">
        <v>47364</v>
      </c>
    </row>
    <row r="89" spans="12:13" x14ac:dyDescent="0.25">
      <c r="L89" t="s">
        <v>104</v>
      </c>
      <c r="M89" s="46">
        <v>47399</v>
      </c>
    </row>
    <row r="90" spans="12:13" x14ac:dyDescent="0.25">
      <c r="L90" t="s">
        <v>106</v>
      </c>
      <c r="M90" s="46">
        <v>47434</v>
      </c>
    </row>
    <row r="91" spans="12:13" x14ac:dyDescent="0.25">
      <c r="L91" t="s">
        <v>108</v>
      </c>
      <c r="M91" s="46">
        <v>47444</v>
      </c>
    </row>
    <row r="92" spans="12:13" x14ac:dyDescent="0.25">
      <c r="L92" t="s">
        <v>110</v>
      </c>
      <c r="M92" s="46">
        <v>47477</v>
      </c>
    </row>
    <row r="93" spans="12:13" x14ac:dyDescent="0.25">
      <c r="L93" t="s">
        <v>84</v>
      </c>
      <c r="M93" s="46">
        <v>47484</v>
      </c>
    </row>
    <row r="94" spans="12:13" x14ac:dyDescent="0.25">
      <c r="L94" t="s">
        <v>88</v>
      </c>
      <c r="M94" s="46">
        <v>47504</v>
      </c>
    </row>
    <row r="95" spans="12:13" x14ac:dyDescent="0.25">
      <c r="L95" t="s">
        <v>89</v>
      </c>
      <c r="M95" s="46">
        <v>47532</v>
      </c>
    </row>
    <row r="96" spans="12:13" x14ac:dyDescent="0.25">
      <c r="L96" t="s">
        <v>91</v>
      </c>
      <c r="M96" s="46">
        <v>47592</v>
      </c>
    </row>
    <row r="97" spans="12:13" x14ac:dyDescent="0.25">
      <c r="L97" t="s">
        <v>94</v>
      </c>
      <c r="M97" s="46">
        <v>47630</v>
      </c>
    </row>
    <row r="98" spans="12:13" x14ac:dyDescent="0.25">
      <c r="L98" t="s">
        <v>97</v>
      </c>
      <c r="M98" s="46">
        <v>47653</v>
      </c>
    </row>
    <row r="99" spans="12:13" x14ac:dyDescent="0.25">
      <c r="L99" t="s">
        <v>100</v>
      </c>
      <c r="M99" s="46">
        <v>47668</v>
      </c>
    </row>
    <row r="100" spans="12:13" x14ac:dyDescent="0.25">
      <c r="L100" t="s">
        <v>102</v>
      </c>
      <c r="M100" s="46">
        <v>47728</v>
      </c>
    </row>
    <row r="101" spans="12:13" x14ac:dyDescent="0.25">
      <c r="L101" t="s">
        <v>104</v>
      </c>
      <c r="M101" s="46">
        <v>47770</v>
      </c>
    </row>
    <row r="102" spans="12:13" x14ac:dyDescent="0.25">
      <c r="L102" t="s">
        <v>106</v>
      </c>
      <c r="M102" s="46">
        <v>47798</v>
      </c>
    </row>
    <row r="103" spans="12:13" x14ac:dyDescent="0.25">
      <c r="L103" t="s">
        <v>108</v>
      </c>
      <c r="M103" s="46">
        <v>47815</v>
      </c>
    </row>
    <row r="104" spans="12:13" x14ac:dyDescent="0.25">
      <c r="L104" t="s">
        <v>110</v>
      </c>
      <c r="M104" s="46">
        <v>47842</v>
      </c>
    </row>
    <row r="105" spans="12:13" x14ac:dyDescent="0.25">
      <c r="L105" t="s">
        <v>84</v>
      </c>
      <c r="M105" s="46">
        <v>47849</v>
      </c>
    </row>
    <row r="106" spans="12:13" x14ac:dyDescent="0.25">
      <c r="L106" t="s">
        <v>88</v>
      </c>
      <c r="M106" s="46">
        <v>47868</v>
      </c>
    </row>
    <row r="107" spans="12:13" x14ac:dyDescent="0.25">
      <c r="L107" t="s">
        <v>89</v>
      </c>
      <c r="M107" s="46">
        <v>47896</v>
      </c>
    </row>
    <row r="108" spans="12:13" x14ac:dyDescent="0.25">
      <c r="L108" t="s">
        <v>91</v>
      </c>
      <c r="M108" s="46">
        <v>47949</v>
      </c>
    </row>
    <row r="109" spans="12:13" x14ac:dyDescent="0.25">
      <c r="L109" t="s">
        <v>94</v>
      </c>
      <c r="M109" s="46">
        <v>47994</v>
      </c>
    </row>
    <row r="110" spans="12:13" x14ac:dyDescent="0.25">
      <c r="L110" t="s">
        <v>97</v>
      </c>
      <c r="M110" s="46">
        <v>48018</v>
      </c>
    </row>
    <row r="111" spans="12:13" x14ac:dyDescent="0.25">
      <c r="L111" t="s">
        <v>100</v>
      </c>
      <c r="M111" s="46">
        <v>48033</v>
      </c>
    </row>
    <row r="112" spans="12:13" x14ac:dyDescent="0.25">
      <c r="L112" t="s">
        <v>102</v>
      </c>
      <c r="M112" s="46">
        <v>48092</v>
      </c>
    </row>
    <row r="113" spans="12:13" x14ac:dyDescent="0.25">
      <c r="L113" t="s">
        <v>104</v>
      </c>
      <c r="M113" s="46">
        <v>48134</v>
      </c>
    </row>
    <row r="114" spans="12:13" x14ac:dyDescent="0.25">
      <c r="L114" t="s">
        <v>106</v>
      </c>
      <c r="M114" s="46">
        <v>48163</v>
      </c>
    </row>
    <row r="115" spans="12:13" x14ac:dyDescent="0.25">
      <c r="L115" t="s">
        <v>108</v>
      </c>
      <c r="M115" s="46">
        <v>48179</v>
      </c>
    </row>
    <row r="116" spans="12:13" x14ac:dyDescent="0.25">
      <c r="L116" t="s">
        <v>110</v>
      </c>
      <c r="M116" s="46">
        <v>48207</v>
      </c>
    </row>
    <row r="117" spans="12:13" x14ac:dyDescent="0.25">
      <c r="L117" t="s">
        <v>84</v>
      </c>
      <c r="M117" s="46">
        <v>48214</v>
      </c>
    </row>
    <row r="118" spans="12:13" x14ac:dyDescent="0.25">
      <c r="L118" t="s">
        <v>88</v>
      </c>
      <c r="M118" s="46">
        <v>48232</v>
      </c>
    </row>
    <row r="119" spans="12:13" x14ac:dyDescent="0.25">
      <c r="L119" t="s">
        <v>89</v>
      </c>
      <c r="M119" s="46">
        <v>48260</v>
      </c>
    </row>
    <row r="120" spans="12:13" x14ac:dyDescent="0.25">
      <c r="L120" t="s">
        <v>91</v>
      </c>
      <c r="M120" s="46">
        <v>48299</v>
      </c>
    </row>
    <row r="121" spans="12:13" x14ac:dyDescent="0.25">
      <c r="L121" t="s">
        <v>94</v>
      </c>
      <c r="M121" s="46">
        <v>48365</v>
      </c>
    </row>
    <row r="122" spans="12:13" x14ac:dyDescent="0.25">
      <c r="L122" t="s">
        <v>97</v>
      </c>
      <c r="M122" s="46">
        <v>48383</v>
      </c>
    </row>
    <row r="123" spans="12:13" x14ac:dyDescent="0.25">
      <c r="L123" t="s">
        <v>100</v>
      </c>
      <c r="M123" s="46">
        <v>48400</v>
      </c>
    </row>
    <row r="124" spans="12:13" x14ac:dyDescent="0.25">
      <c r="L124" t="s">
        <v>102</v>
      </c>
      <c r="M124" s="46">
        <v>48463</v>
      </c>
    </row>
    <row r="125" spans="12:13" x14ac:dyDescent="0.25">
      <c r="L125" t="s">
        <v>104</v>
      </c>
      <c r="M125" s="46">
        <v>48498</v>
      </c>
    </row>
    <row r="126" spans="12:13" x14ac:dyDescent="0.25">
      <c r="L126" t="s">
        <v>106</v>
      </c>
      <c r="M126" s="46">
        <v>48529</v>
      </c>
    </row>
    <row r="127" spans="12:13" x14ac:dyDescent="0.25">
      <c r="L127" t="s">
        <v>108</v>
      </c>
      <c r="M127" s="46">
        <v>48543</v>
      </c>
    </row>
    <row r="128" spans="12:13" x14ac:dyDescent="0.25">
      <c r="L128" t="s">
        <v>110</v>
      </c>
      <c r="M128" s="46">
        <v>48572</v>
      </c>
    </row>
    <row r="129" spans="12:13" x14ac:dyDescent="0.25">
      <c r="L129" t="s">
        <v>84</v>
      </c>
      <c r="M129" s="46">
        <v>48582</v>
      </c>
    </row>
    <row r="130" spans="12:13" x14ac:dyDescent="0.25">
      <c r="L130" t="s">
        <v>88</v>
      </c>
      <c r="M130" s="46">
        <v>48596</v>
      </c>
    </row>
    <row r="131" spans="12:13" x14ac:dyDescent="0.25">
      <c r="L131" t="s">
        <v>89</v>
      </c>
      <c r="M131" s="46">
        <v>48631</v>
      </c>
    </row>
    <row r="132" spans="12:13" x14ac:dyDescent="0.25">
      <c r="L132" t="s">
        <v>91</v>
      </c>
      <c r="M132" s="46">
        <v>48684</v>
      </c>
    </row>
    <row r="133" spans="12:13" x14ac:dyDescent="0.25">
      <c r="L133" t="s">
        <v>94</v>
      </c>
      <c r="M133" s="46">
        <v>48729</v>
      </c>
    </row>
    <row r="134" spans="12:13" x14ac:dyDescent="0.25">
      <c r="L134" t="s">
        <v>97</v>
      </c>
      <c r="M134" s="46">
        <v>48750</v>
      </c>
    </row>
    <row r="135" spans="12:13" x14ac:dyDescent="0.25">
      <c r="L135" t="s">
        <v>100</v>
      </c>
      <c r="M135" s="46">
        <v>48764</v>
      </c>
    </row>
    <row r="136" spans="12:13" x14ac:dyDescent="0.25">
      <c r="L136" t="s">
        <v>102</v>
      </c>
      <c r="M136" s="46">
        <v>48827</v>
      </c>
    </row>
    <row r="137" spans="12:13" x14ac:dyDescent="0.25">
      <c r="L137" t="s">
        <v>104</v>
      </c>
      <c r="M137" s="46">
        <v>48862</v>
      </c>
    </row>
    <row r="138" spans="12:13" x14ac:dyDescent="0.25">
      <c r="L138" t="s">
        <v>106</v>
      </c>
      <c r="M138" s="46">
        <v>48894</v>
      </c>
    </row>
    <row r="139" spans="12:13" x14ac:dyDescent="0.25">
      <c r="L139" t="s">
        <v>108</v>
      </c>
      <c r="M139" s="46">
        <v>48907</v>
      </c>
    </row>
    <row r="140" spans="12:13" x14ac:dyDescent="0.25">
      <c r="L140" t="s">
        <v>110</v>
      </c>
      <c r="M140" s="46">
        <v>48939</v>
      </c>
    </row>
    <row r="141" spans="12:13" x14ac:dyDescent="0.25">
      <c r="L141" t="s">
        <v>84</v>
      </c>
      <c r="M141" s="46">
        <v>48946</v>
      </c>
    </row>
    <row r="142" spans="12:13" x14ac:dyDescent="0.25">
      <c r="L142" t="s">
        <v>88</v>
      </c>
      <c r="M142" s="46">
        <v>48960</v>
      </c>
    </row>
    <row r="143" spans="12:13" x14ac:dyDescent="0.25">
      <c r="L143" t="s">
        <v>89</v>
      </c>
      <c r="M143" s="46">
        <v>48995</v>
      </c>
    </row>
    <row r="144" spans="12:13" x14ac:dyDescent="0.25">
      <c r="L144" t="s">
        <v>91</v>
      </c>
      <c r="M144" s="46">
        <v>49041</v>
      </c>
    </row>
    <row r="145" spans="12:13" x14ac:dyDescent="0.25">
      <c r="L145" t="s">
        <v>94</v>
      </c>
      <c r="M145" s="46">
        <v>49093</v>
      </c>
    </row>
    <row r="146" spans="12:13" x14ac:dyDescent="0.25">
      <c r="L146" t="s">
        <v>97</v>
      </c>
      <c r="M146" s="46">
        <v>49114</v>
      </c>
    </row>
    <row r="147" spans="12:13" x14ac:dyDescent="0.25">
      <c r="L147" t="s">
        <v>100</v>
      </c>
      <c r="M147" s="46">
        <v>49129</v>
      </c>
    </row>
    <row r="148" spans="12:13" x14ac:dyDescent="0.25">
      <c r="L148" t="s">
        <v>102</v>
      </c>
      <c r="M148" s="46">
        <v>49191</v>
      </c>
    </row>
    <row r="149" spans="12:13" x14ac:dyDescent="0.25">
      <c r="L149" t="s">
        <v>104</v>
      </c>
      <c r="M149" s="46">
        <v>49226</v>
      </c>
    </row>
    <row r="150" spans="12:13" x14ac:dyDescent="0.25">
      <c r="L150" t="s">
        <v>106</v>
      </c>
      <c r="M150" s="46">
        <v>49258</v>
      </c>
    </row>
    <row r="151" spans="12:13" x14ac:dyDescent="0.25">
      <c r="L151" t="s">
        <v>108</v>
      </c>
      <c r="M151" s="46">
        <v>49271</v>
      </c>
    </row>
    <row r="152" spans="12:13" x14ac:dyDescent="0.25">
      <c r="L152" t="s">
        <v>110</v>
      </c>
      <c r="M152" s="46">
        <v>49303</v>
      </c>
    </row>
    <row r="153" spans="12:13" x14ac:dyDescent="0.25">
      <c r="L153" t="s">
        <v>84</v>
      </c>
      <c r="M153" s="46">
        <v>49310</v>
      </c>
    </row>
    <row r="154" spans="12:13" x14ac:dyDescent="0.25">
      <c r="L154" t="s">
        <v>88</v>
      </c>
      <c r="M154" s="46">
        <v>49324</v>
      </c>
    </row>
    <row r="155" spans="12:13" x14ac:dyDescent="0.25">
      <c r="L155" t="s">
        <v>89</v>
      </c>
      <c r="M155" s="46">
        <v>49359</v>
      </c>
    </row>
    <row r="156" spans="12:13" x14ac:dyDescent="0.25">
      <c r="L156" t="s">
        <v>91</v>
      </c>
      <c r="M156" s="46">
        <v>49391</v>
      </c>
    </row>
    <row r="157" spans="12:13" x14ac:dyDescent="0.25">
      <c r="L157" t="s">
        <v>94</v>
      </c>
      <c r="M157" s="46">
        <v>49457</v>
      </c>
    </row>
    <row r="158" spans="12:13" x14ac:dyDescent="0.25">
      <c r="L158" t="s">
        <v>97</v>
      </c>
      <c r="M158" s="46">
        <v>49479</v>
      </c>
    </row>
    <row r="159" spans="12:13" x14ac:dyDescent="0.25">
      <c r="L159" t="s">
        <v>100</v>
      </c>
      <c r="M159" s="46">
        <v>49494</v>
      </c>
    </row>
    <row r="160" spans="12:13" x14ac:dyDescent="0.25">
      <c r="L160" t="s">
        <v>102</v>
      </c>
      <c r="M160" s="46">
        <v>49555</v>
      </c>
    </row>
    <row r="161" spans="12:13" x14ac:dyDescent="0.25">
      <c r="L161" t="s">
        <v>104</v>
      </c>
      <c r="M161" s="46">
        <v>49590</v>
      </c>
    </row>
    <row r="162" spans="12:13" x14ac:dyDescent="0.25">
      <c r="L162" t="s">
        <v>106</v>
      </c>
      <c r="M162" s="46">
        <v>49625</v>
      </c>
    </row>
    <row r="163" spans="12:13" x14ac:dyDescent="0.25">
      <c r="L163" t="s">
        <v>108</v>
      </c>
      <c r="M163" s="46">
        <v>49635</v>
      </c>
    </row>
    <row r="164" spans="12:13" x14ac:dyDescent="0.25">
      <c r="L164" t="s">
        <v>110</v>
      </c>
      <c r="M164" s="46">
        <v>49668</v>
      </c>
    </row>
    <row r="165" spans="12:13" x14ac:dyDescent="0.25">
      <c r="L165" t="s">
        <v>84</v>
      </c>
      <c r="M165" s="46">
        <v>49675</v>
      </c>
    </row>
    <row r="166" spans="12:13" x14ac:dyDescent="0.25">
      <c r="L166" t="s">
        <v>88</v>
      </c>
      <c r="M166" s="46">
        <v>49695</v>
      </c>
    </row>
    <row r="167" spans="12:13" x14ac:dyDescent="0.25">
      <c r="L167" t="s">
        <v>89</v>
      </c>
      <c r="M167" s="46">
        <v>49723</v>
      </c>
    </row>
    <row r="168" spans="12:13" x14ac:dyDescent="0.25">
      <c r="L168" t="s">
        <v>91</v>
      </c>
      <c r="M168" s="46">
        <v>49776</v>
      </c>
    </row>
    <row r="169" spans="12:13" x14ac:dyDescent="0.25">
      <c r="L169" t="s">
        <v>94</v>
      </c>
      <c r="M169" s="46">
        <v>49821</v>
      </c>
    </row>
    <row r="170" spans="12:13" x14ac:dyDescent="0.25">
      <c r="L170" t="s">
        <v>97</v>
      </c>
      <c r="M170" s="46">
        <v>49845</v>
      </c>
    </row>
    <row r="171" spans="12:13" x14ac:dyDescent="0.25">
      <c r="L171" t="s">
        <v>100</v>
      </c>
      <c r="M171" s="46">
        <v>49860</v>
      </c>
    </row>
    <row r="172" spans="12:13" x14ac:dyDescent="0.25">
      <c r="L172" t="s">
        <v>102</v>
      </c>
      <c r="M172" s="46">
        <v>49919</v>
      </c>
    </row>
    <row r="173" spans="12:13" x14ac:dyDescent="0.25">
      <c r="L173" t="s">
        <v>104</v>
      </c>
      <c r="M173" s="46">
        <v>49961</v>
      </c>
    </row>
    <row r="174" spans="12:13" x14ac:dyDescent="0.25">
      <c r="L174" t="s">
        <v>106</v>
      </c>
      <c r="M174" s="46">
        <v>49990</v>
      </c>
    </row>
    <row r="175" spans="12:13" x14ac:dyDescent="0.25">
      <c r="L175" t="s">
        <v>108</v>
      </c>
      <c r="M175" s="46">
        <v>50006</v>
      </c>
    </row>
    <row r="176" spans="12:13" x14ac:dyDescent="0.25">
      <c r="L176" t="s">
        <v>110</v>
      </c>
      <c r="M176" s="46">
        <v>50034</v>
      </c>
    </row>
    <row r="177" spans="12:13" x14ac:dyDescent="0.25">
      <c r="L177" t="s">
        <v>84</v>
      </c>
      <c r="M177" s="46">
        <v>50041</v>
      </c>
    </row>
    <row r="178" spans="12:13" x14ac:dyDescent="0.25">
      <c r="L178" t="s">
        <v>88</v>
      </c>
      <c r="M178" s="46">
        <v>50059</v>
      </c>
    </row>
    <row r="179" spans="12:13" x14ac:dyDescent="0.25">
      <c r="L179" t="s">
        <v>89</v>
      </c>
      <c r="M179" s="46">
        <v>50087</v>
      </c>
    </row>
    <row r="180" spans="12:13" x14ac:dyDescent="0.25">
      <c r="L180" t="s">
        <v>91</v>
      </c>
      <c r="M180" s="46">
        <v>50133</v>
      </c>
    </row>
    <row r="181" spans="12:13" x14ac:dyDescent="0.25">
      <c r="L181" t="s">
        <v>94</v>
      </c>
      <c r="M181" s="46">
        <v>50185</v>
      </c>
    </row>
    <row r="182" spans="12:13" x14ac:dyDescent="0.25">
      <c r="L182" t="s">
        <v>97</v>
      </c>
      <c r="M182" s="46">
        <v>50210</v>
      </c>
    </row>
    <row r="183" spans="12:13" x14ac:dyDescent="0.25">
      <c r="L183" t="s">
        <v>100</v>
      </c>
      <c r="M183" s="46">
        <v>50224</v>
      </c>
    </row>
    <row r="184" spans="12:13" x14ac:dyDescent="0.25">
      <c r="L184" t="s">
        <v>102</v>
      </c>
      <c r="M184" s="46">
        <v>50290</v>
      </c>
    </row>
    <row r="185" spans="12:13" x14ac:dyDescent="0.25">
      <c r="L185" t="s">
        <v>104</v>
      </c>
      <c r="M185" s="46">
        <v>50325</v>
      </c>
    </row>
    <row r="186" spans="12:13" x14ac:dyDescent="0.25">
      <c r="L186" t="s">
        <v>106</v>
      </c>
      <c r="M186" s="46">
        <v>50355</v>
      </c>
    </row>
    <row r="187" spans="12:13" x14ac:dyDescent="0.25">
      <c r="L187" t="s">
        <v>108</v>
      </c>
      <c r="M187" s="46">
        <v>50370</v>
      </c>
    </row>
    <row r="188" spans="12:13" x14ac:dyDescent="0.25">
      <c r="L188" t="s">
        <v>110</v>
      </c>
      <c r="M188" s="46">
        <v>50399</v>
      </c>
    </row>
    <row r="189" spans="12:13" x14ac:dyDescent="0.25">
      <c r="L189" t="s">
        <v>84</v>
      </c>
      <c r="M189" s="46">
        <v>50406</v>
      </c>
    </row>
    <row r="190" spans="12:13" x14ac:dyDescent="0.25">
      <c r="L190" t="s">
        <v>88</v>
      </c>
      <c r="M190" s="46">
        <v>50423</v>
      </c>
    </row>
    <row r="191" spans="12:13" x14ac:dyDescent="0.25">
      <c r="L191" t="s">
        <v>89</v>
      </c>
      <c r="M191" s="46">
        <v>50451</v>
      </c>
    </row>
    <row r="192" spans="12:13" x14ac:dyDescent="0.25">
      <c r="L192" t="s">
        <v>91</v>
      </c>
      <c r="M192" s="46">
        <v>50518</v>
      </c>
    </row>
    <row r="193" spans="12:13" x14ac:dyDescent="0.25">
      <c r="L193" t="s">
        <v>94</v>
      </c>
      <c r="M193" s="46">
        <v>50556</v>
      </c>
    </row>
    <row r="194" spans="12:13" x14ac:dyDescent="0.25">
      <c r="L194" t="s">
        <v>97</v>
      </c>
      <c r="M194" s="46">
        <v>50574</v>
      </c>
    </row>
    <row r="195" spans="12:13" x14ac:dyDescent="0.25">
      <c r="L195" t="s">
        <v>100</v>
      </c>
      <c r="M195" s="46">
        <v>50591</v>
      </c>
    </row>
    <row r="196" spans="12:13" x14ac:dyDescent="0.25">
      <c r="L196" t="s">
        <v>102</v>
      </c>
      <c r="M196" s="46">
        <v>50654</v>
      </c>
    </row>
    <row r="197" spans="12:13" x14ac:dyDescent="0.25">
      <c r="L197" t="s">
        <v>104</v>
      </c>
      <c r="M197" s="46">
        <v>50689</v>
      </c>
    </row>
    <row r="198" spans="12:13" x14ac:dyDescent="0.25">
      <c r="L198" t="s">
        <v>106</v>
      </c>
      <c r="M198" s="46">
        <v>50720</v>
      </c>
    </row>
    <row r="199" spans="12:13" x14ac:dyDescent="0.25">
      <c r="L199" t="s">
        <v>108</v>
      </c>
      <c r="M199" s="46">
        <v>50734</v>
      </c>
    </row>
    <row r="200" spans="12:13" x14ac:dyDescent="0.25">
      <c r="L200" t="s">
        <v>110</v>
      </c>
      <c r="M200" s="46">
        <v>50763</v>
      </c>
    </row>
    <row r="201" spans="12:13" x14ac:dyDescent="0.25">
      <c r="L201" t="s">
        <v>84</v>
      </c>
      <c r="M201" s="46">
        <v>50773</v>
      </c>
    </row>
    <row r="202" spans="12:13" x14ac:dyDescent="0.25">
      <c r="L202" t="s">
        <v>88</v>
      </c>
      <c r="M202" s="46">
        <v>50787</v>
      </c>
    </row>
    <row r="203" spans="12:13" x14ac:dyDescent="0.25">
      <c r="L203" t="s">
        <v>89</v>
      </c>
      <c r="M203" s="46">
        <v>50822</v>
      </c>
    </row>
    <row r="204" spans="12:13" x14ac:dyDescent="0.25">
      <c r="L204" t="s">
        <v>91</v>
      </c>
      <c r="M204" s="46">
        <v>50868</v>
      </c>
    </row>
    <row r="205" spans="12:13" x14ac:dyDescent="0.25">
      <c r="L205" t="s">
        <v>94</v>
      </c>
      <c r="M205" s="46">
        <v>50920</v>
      </c>
    </row>
    <row r="206" spans="12:13" x14ac:dyDescent="0.25">
      <c r="L206" t="s">
        <v>97</v>
      </c>
      <c r="M206" s="46">
        <v>50941</v>
      </c>
    </row>
    <row r="207" spans="12:13" x14ac:dyDescent="0.25">
      <c r="L207" t="s">
        <v>100</v>
      </c>
      <c r="M207" s="46">
        <v>50955</v>
      </c>
    </row>
    <row r="208" spans="12:13" x14ac:dyDescent="0.25">
      <c r="L208" t="s">
        <v>102</v>
      </c>
      <c r="M208" s="46">
        <v>51018</v>
      </c>
    </row>
    <row r="209" spans="12:13" x14ac:dyDescent="0.25">
      <c r="L209" t="s">
        <v>104</v>
      </c>
      <c r="M209" s="46">
        <v>51053</v>
      </c>
    </row>
    <row r="210" spans="12:13" x14ac:dyDescent="0.25">
      <c r="L210" t="s">
        <v>106</v>
      </c>
      <c r="M210" s="46">
        <v>51085</v>
      </c>
    </row>
    <row r="211" spans="12:13" x14ac:dyDescent="0.25">
      <c r="L211" t="s">
        <v>108</v>
      </c>
      <c r="M211" s="46">
        <v>51098</v>
      </c>
    </row>
    <row r="212" spans="12:13" x14ac:dyDescent="0.25">
      <c r="L212" t="s">
        <v>110</v>
      </c>
      <c r="M212" s="46">
        <v>51130</v>
      </c>
    </row>
    <row r="213" spans="12:13" x14ac:dyDescent="0.25">
      <c r="L213" t="s">
        <v>84</v>
      </c>
      <c r="M213" s="46">
        <v>51137</v>
      </c>
    </row>
    <row r="214" spans="12:13" x14ac:dyDescent="0.25">
      <c r="L214" t="s">
        <v>88</v>
      </c>
      <c r="M214" s="46">
        <v>51151</v>
      </c>
    </row>
    <row r="215" spans="12:13" x14ac:dyDescent="0.25">
      <c r="L215" t="s">
        <v>89</v>
      </c>
      <c r="M215" s="46">
        <v>51186</v>
      </c>
    </row>
    <row r="216" spans="12:13" x14ac:dyDescent="0.25">
      <c r="L216" t="s">
        <v>91</v>
      </c>
      <c r="M216" s="46">
        <v>51225</v>
      </c>
    </row>
    <row r="217" spans="12:13" x14ac:dyDescent="0.25">
      <c r="L217" t="s">
        <v>94</v>
      </c>
      <c r="M217" s="46">
        <v>51284</v>
      </c>
    </row>
    <row r="218" spans="12:13" x14ac:dyDescent="0.25">
      <c r="L218" t="s">
        <v>97</v>
      </c>
      <c r="M218" s="46">
        <v>51306</v>
      </c>
    </row>
    <row r="219" spans="12:13" x14ac:dyDescent="0.25">
      <c r="L219" t="s">
        <v>100</v>
      </c>
      <c r="M219" s="46">
        <v>51321</v>
      </c>
    </row>
    <row r="220" spans="12:13" x14ac:dyDescent="0.25">
      <c r="L220" t="s">
        <v>102</v>
      </c>
      <c r="M220" s="46">
        <v>51382</v>
      </c>
    </row>
    <row r="221" spans="12:13" x14ac:dyDescent="0.25">
      <c r="L221" t="s">
        <v>104</v>
      </c>
      <c r="M221" s="46">
        <v>51417</v>
      </c>
    </row>
    <row r="222" spans="12:13" x14ac:dyDescent="0.25">
      <c r="L222" t="s">
        <v>106</v>
      </c>
      <c r="M222" s="46">
        <v>51452</v>
      </c>
    </row>
    <row r="223" spans="12:13" x14ac:dyDescent="0.25">
      <c r="L223" t="s">
        <v>108</v>
      </c>
      <c r="M223" s="46">
        <v>51462</v>
      </c>
    </row>
    <row r="224" spans="12:13" x14ac:dyDescent="0.25">
      <c r="L224" t="s">
        <v>110</v>
      </c>
      <c r="M224" s="46">
        <v>51495</v>
      </c>
    </row>
    <row r="225" spans="12:13" x14ac:dyDescent="0.25">
      <c r="L225" t="s">
        <v>84</v>
      </c>
      <c r="M225" s="46">
        <v>51502</v>
      </c>
    </row>
    <row r="226" spans="12:13" x14ac:dyDescent="0.25">
      <c r="L226" t="s">
        <v>88</v>
      </c>
      <c r="M226" s="46">
        <v>51522</v>
      </c>
    </row>
    <row r="227" spans="12:13" x14ac:dyDescent="0.25">
      <c r="L227" t="s">
        <v>89</v>
      </c>
      <c r="M227" s="46">
        <v>51550</v>
      </c>
    </row>
    <row r="228" spans="12:13" x14ac:dyDescent="0.25">
      <c r="L228" t="s">
        <v>91</v>
      </c>
      <c r="M228" s="46">
        <v>51610</v>
      </c>
    </row>
    <row r="229" spans="12:13" x14ac:dyDescent="0.25">
      <c r="L229" t="s">
        <v>94</v>
      </c>
      <c r="M229" s="46">
        <v>51648</v>
      </c>
    </row>
    <row r="230" spans="12:13" x14ac:dyDescent="0.25">
      <c r="L230" t="s">
        <v>97</v>
      </c>
      <c r="M230" s="46">
        <v>51671</v>
      </c>
    </row>
    <row r="231" spans="12:13" x14ac:dyDescent="0.25">
      <c r="L231" t="s">
        <v>100</v>
      </c>
      <c r="M231" s="46">
        <v>51686</v>
      </c>
    </row>
    <row r="232" spans="12:13" x14ac:dyDescent="0.25">
      <c r="L232" t="s">
        <v>102</v>
      </c>
      <c r="M232" s="46">
        <v>51746</v>
      </c>
    </row>
    <row r="233" spans="12:13" x14ac:dyDescent="0.25">
      <c r="L233" t="s">
        <v>104</v>
      </c>
      <c r="M233" s="46">
        <v>51788</v>
      </c>
    </row>
    <row r="234" spans="12:13" x14ac:dyDescent="0.25">
      <c r="L234" t="s">
        <v>106</v>
      </c>
      <c r="M234" s="46">
        <v>51816</v>
      </c>
    </row>
    <row r="235" spans="12:13" x14ac:dyDescent="0.25">
      <c r="L235" t="s">
        <v>108</v>
      </c>
      <c r="M235" s="46">
        <v>51833</v>
      </c>
    </row>
    <row r="236" spans="12:13" x14ac:dyDescent="0.25">
      <c r="L236" t="s">
        <v>110</v>
      </c>
      <c r="M236" s="46">
        <v>51860</v>
      </c>
    </row>
    <row r="237" spans="12:13" x14ac:dyDescent="0.25">
      <c r="L237" t="s">
        <v>84</v>
      </c>
      <c r="M237" s="46">
        <v>51867</v>
      </c>
    </row>
    <row r="238" spans="12:13" x14ac:dyDescent="0.25">
      <c r="L238" t="s">
        <v>88</v>
      </c>
      <c r="M238" s="46">
        <v>51886</v>
      </c>
    </row>
    <row r="239" spans="12:13" x14ac:dyDescent="0.25">
      <c r="L239" t="s">
        <v>89</v>
      </c>
      <c r="M239" s="46">
        <v>51914</v>
      </c>
    </row>
    <row r="240" spans="12:13" x14ac:dyDescent="0.25">
      <c r="L240" t="s">
        <v>91</v>
      </c>
      <c r="M240" s="46">
        <v>51960</v>
      </c>
    </row>
    <row r="241" spans="12:13" x14ac:dyDescent="0.25">
      <c r="L241" t="s">
        <v>94</v>
      </c>
      <c r="M241" s="46">
        <v>52012</v>
      </c>
    </row>
    <row r="242" spans="12:13" x14ac:dyDescent="0.25">
      <c r="L242" t="s">
        <v>97</v>
      </c>
      <c r="M242" s="46">
        <v>52036</v>
      </c>
    </row>
    <row r="243" spans="12:13" x14ac:dyDescent="0.25">
      <c r="L243" t="s">
        <v>100</v>
      </c>
      <c r="M243" s="46">
        <v>52051</v>
      </c>
    </row>
    <row r="244" spans="12:13" x14ac:dyDescent="0.25">
      <c r="L244" t="s">
        <v>102</v>
      </c>
      <c r="M244" s="46">
        <v>52110</v>
      </c>
    </row>
    <row r="245" spans="12:13" x14ac:dyDescent="0.25">
      <c r="L245" t="s">
        <v>104</v>
      </c>
      <c r="M245" s="46">
        <v>52152</v>
      </c>
    </row>
    <row r="246" spans="12:13" x14ac:dyDescent="0.25">
      <c r="L246" t="s">
        <v>106</v>
      </c>
      <c r="M246" s="46">
        <v>52181</v>
      </c>
    </row>
    <row r="247" spans="12:13" x14ac:dyDescent="0.25">
      <c r="L247" t="s">
        <v>108</v>
      </c>
      <c r="M247" s="46">
        <v>52197</v>
      </c>
    </row>
    <row r="248" spans="12:13" x14ac:dyDescent="0.25">
      <c r="L248" t="s">
        <v>110</v>
      </c>
      <c r="M248" s="46">
        <v>52225</v>
      </c>
    </row>
    <row r="249" spans="12:13" x14ac:dyDescent="0.25">
      <c r="L249" t="s">
        <v>84</v>
      </c>
      <c r="M249" s="46">
        <v>52232</v>
      </c>
    </row>
    <row r="250" spans="12:13" x14ac:dyDescent="0.25">
      <c r="L250" t="s">
        <v>88</v>
      </c>
      <c r="M250" s="46">
        <v>52250</v>
      </c>
    </row>
    <row r="251" spans="12:13" x14ac:dyDescent="0.25">
      <c r="L251" t="s">
        <v>89</v>
      </c>
      <c r="M251" s="46">
        <v>52278</v>
      </c>
    </row>
    <row r="252" spans="12:13" x14ac:dyDescent="0.25">
      <c r="L252" t="s">
        <v>91</v>
      </c>
      <c r="M252" s="46">
        <v>52317</v>
      </c>
    </row>
    <row r="253" spans="12:13" x14ac:dyDescent="0.25">
      <c r="L253" t="s">
        <v>94</v>
      </c>
      <c r="M253" s="46">
        <v>52376</v>
      </c>
    </row>
    <row r="254" spans="12:13" x14ac:dyDescent="0.25">
      <c r="L254" t="s">
        <v>97</v>
      </c>
      <c r="M254" s="46">
        <v>52401</v>
      </c>
    </row>
    <row r="255" spans="12:13" x14ac:dyDescent="0.25">
      <c r="L255" t="s">
        <v>100</v>
      </c>
      <c r="M255" s="46">
        <v>52415</v>
      </c>
    </row>
    <row r="256" spans="12:13" x14ac:dyDescent="0.25">
      <c r="L256" t="s">
        <v>102</v>
      </c>
      <c r="M256" s="46">
        <v>52481</v>
      </c>
    </row>
    <row r="257" spans="12:13" x14ac:dyDescent="0.25">
      <c r="L257" t="s">
        <v>104</v>
      </c>
      <c r="M257" s="46">
        <v>52516</v>
      </c>
    </row>
    <row r="258" spans="12:13" x14ac:dyDescent="0.25">
      <c r="L258" t="s">
        <v>106</v>
      </c>
      <c r="M258" s="46">
        <v>52546</v>
      </c>
    </row>
    <row r="259" spans="12:13" x14ac:dyDescent="0.25">
      <c r="L259" t="s">
        <v>108</v>
      </c>
      <c r="M259" s="46">
        <v>52561</v>
      </c>
    </row>
    <row r="260" spans="12:13" x14ac:dyDescent="0.25">
      <c r="L260" t="s">
        <v>110</v>
      </c>
      <c r="M260" s="46">
        <v>52590</v>
      </c>
    </row>
  </sheetData>
  <sortState xmlns:xlrd2="http://schemas.microsoft.com/office/spreadsheetml/2017/richdata2" ref="L9:M260">
    <sortCondition ref="M8"/>
  </sortState>
  <pageMargins left="0.7" right="0.7" top="0.75" bottom="0.75" header="0.3" footer="0.3"/>
  <pageSetup orientation="portrait" r:id="rId1"/>
  <drawing r:id="rId2"/>
  <legacyDrawing r:id="rId3"/>
  <controls>
    <mc:AlternateContent xmlns:mc="http://schemas.openxmlformats.org/markup-compatibility/2006">
      <mc:Choice Requires="x14">
        <control shapeId="7169" r:id="rId4" name="cmdCalc">
          <controlPr defaultSize="0" autoLine="0" r:id="rId5">
            <anchor moveWithCells="1">
              <from>
                <xdr:col>11</xdr:col>
                <xdr:colOff>400050</xdr:colOff>
                <xdr:row>4</xdr:row>
                <xdr:rowOff>123825</xdr:rowOff>
              </from>
              <to>
                <xdr:col>12</xdr:col>
                <xdr:colOff>57150</xdr:colOff>
                <xdr:row>6</xdr:row>
                <xdr:rowOff>66675</xdr:rowOff>
              </to>
            </anchor>
          </controlPr>
        </control>
      </mc:Choice>
      <mc:Fallback>
        <control shapeId="7169" r:id="rId4" name="cmdCalc"/>
      </mc:Fallback>
    </mc:AlternateContent>
    <mc:AlternateContent xmlns:mc="http://schemas.openxmlformats.org/markup-compatibility/2006">
      <mc:Choice Requires="x14">
        <control shapeId="7170" r:id="rId6" name="cmdLoadDefs">
          <controlPr defaultSize="0" autoLine="0" r:id="rId7">
            <anchor moveWithCells="1">
              <from>
                <xdr:col>3</xdr:col>
                <xdr:colOff>304800</xdr:colOff>
                <xdr:row>0</xdr:row>
                <xdr:rowOff>133350</xdr:rowOff>
              </from>
              <to>
                <xdr:col>4</xdr:col>
                <xdr:colOff>904875</xdr:colOff>
                <xdr:row>2</xdr:row>
                <xdr:rowOff>66675</xdr:rowOff>
              </to>
            </anchor>
          </controlPr>
        </control>
      </mc:Choice>
      <mc:Fallback>
        <control shapeId="7170" r:id="rId6" name="cmdLoadDefs"/>
      </mc:Fallback>
    </mc:AlternateContent>
  </controls>
  <tableParts count="1">
    <tablePart r:id="rId8"/>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wsHolidays"/>
  <dimension ref="A1:M8"/>
  <sheetViews>
    <sheetView showGridLines="0" topLeftCell="B1" zoomScale="90" zoomScaleNormal="90" workbookViewId="0">
      <selection activeCell="C4" sqref="C4"/>
    </sheetView>
  </sheetViews>
  <sheetFormatPr defaultRowHeight="15" x14ac:dyDescent="0.25"/>
  <cols>
    <col min="1" max="1" width="0" hidden="1" customWidth="1"/>
    <col min="3" max="3" width="26.5703125" bestFit="1" customWidth="1"/>
    <col min="4" max="4" width="16.28515625" bestFit="1" customWidth="1"/>
    <col min="5" max="5" width="18.28515625" bestFit="1" customWidth="1"/>
    <col min="6" max="6" width="13.42578125" bestFit="1" customWidth="1"/>
    <col min="7" max="7" width="16.5703125" bestFit="1" customWidth="1"/>
    <col min="8" max="9" width="16.5703125" customWidth="1"/>
    <col min="12" max="12" width="28.42578125" bestFit="1" customWidth="1"/>
  </cols>
  <sheetData>
    <row r="1" spans="1:13" x14ac:dyDescent="0.25">
      <c r="A1" s="40" t="s">
        <v>65</v>
      </c>
    </row>
    <row r="2" spans="1:13" ht="15.75" x14ac:dyDescent="0.25">
      <c r="C2" s="5" t="s">
        <v>9</v>
      </c>
      <c r="L2" s="5" t="s">
        <v>69</v>
      </c>
    </row>
    <row r="4" spans="1:13" x14ac:dyDescent="0.25">
      <c r="C4" s="3" t="s">
        <v>10</v>
      </c>
      <c r="D4" s="3" t="s">
        <v>68</v>
      </c>
      <c r="E4" s="3" t="s">
        <v>70</v>
      </c>
      <c r="F4" s="3" t="s">
        <v>71</v>
      </c>
      <c r="G4" s="3" t="s">
        <v>73</v>
      </c>
      <c r="H4" s="3" t="s">
        <v>72</v>
      </c>
      <c r="I4" s="3" t="s">
        <v>11</v>
      </c>
      <c r="L4" s="1" t="s">
        <v>12</v>
      </c>
      <c r="M4" s="2"/>
    </row>
    <row r="8" spans="1:13" x14ac:dyDescent="0.25">
      <c r="L8" s="4" t="s">
        <v>10</v>
      </c>
      <c r="M8" s="4" t="s">
        <v>13</v>
      </c>
    </row>
  </sheetData>
  <pageMargins left="0.7" right="0.7" top="0.75" bottom="0.75" header="0.3" footer="0.3"/>
  <pageSetup orientation="portrait" r:id="rId1"/>
  <drawing r:id="rId2"/>
  <legacyDrawing r:id="rId3"/>
  <controls>
    <mc:AlternateContent xmlns:mc="http://schemas.openxmlformats.org/markup-compatibility/2006">
      <mc:Choice Requires="x14">
        <control shapeId="5122" r:id="rId4" name="cmdLoadDefs">
          <controlPr defaultSize="0" autoLine="0" r:id="rId5">
            <anchor moveWithCells="1">
              <from>
                <xdr:col>3</xdr:col>
                <xdr:colOff>304800</xdr:colOff>
                <xdr:row>0</xdr:row>
                <xdr:rowOff>133350</xdr:rowOff>
              </from>
              <to>
                <xdr:col>4</xdr:col>
                <xdr:colOff>904875</xdr:colOff>
                <xdr:row>2</xdr:row>
                <xdr:rowOff>66675</xdr:rowOff>
              </to>
            </anchor>
          </controlPr>
        </control>
      </mc:Choice>
      <mc:Fallback>
        <control shapeId="5122" r:id="rId4" name="cmdLoadDefs"/>
      </mc:Fallback>
    </mc:AlternateContent>
    <mc:AlternateContent xmlns:mc="http://schemas.openxmlformats.org/markup-compatibility/2006">
      <mc:Choice Requires="x14">
        <control shapeId="5121" r:id="rId6" name="cmdCalc">
          <controlPr defaultSize="0" autoLine="0" r:id="rId7">
            <anchor moveWithCells="1">
              <from>
                <xdr:col>11</xdr:col>
                <xdr:colOff>400050</xdr:colOff>
                <xdr:row>4</xdr:row>
                <xdr:rowOff>123825</xdr:rowOff>
              </from>
              <to>
                <xdr:col>12</xdr:col>
                <xdr:colOff>190500</xdr:colOff>
                <xdr:row>6</xdr:row>
                <xdr:rowOff>66675</xdr:rowOff>
              </to>
            </anchor>
          </controlPr>
        </control>
      </mc:Choice>
      <mc:Fallback>
        <control shapeId="5121" r:id="rId6" name="cmdCalc"/>
      </mc:Fallback>
    </mc:AlternateContent>
  </controls>
  <tableParts count="1">
    <tablePart r:id="rId8"/>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13</vt:i4>
      </vt:variant>
    </vt:vector>
  </HeadingPairs>
  <TitlesOfParts>
    <vt:vector size="17" baseType="lpstr">
      <vt:lpstr>About</vt:lpstr>
      <vt:lpstr>Calculator</vt:lpstr>
      <vt:lpstr>US</vt:lpstr>
      <vt:lpstr>Holidays</vt:lpstr>
      <vt:lpstr>BusinessDayConv</vt:lpstr>
      <vt:lpstr>Calculator!ConventionSymbols</vt:lpstr>
      <vt:lpstr>Holidays!HolidayCalStart</vt:lpstr>
      <vt:lpstr>US!HolidayCalStart</vt:lpstr>
      <vt:lpstr>Holidays!HolidayDefStart</vt:lpstr>
      <vt:lpstr>US!HolidayDefStart</vt:lpstr>
      <vt:lpstr>HolidaySheet</vt:lpstr>
      <vt:lpstr>HolidaySheetStatus</vt:lpstr>
      <vt:lpstr>US!HolScheduleSheets</vt:lpstr>
      <vt:lpstr>HolScheduleSheets</vt:lpstr>
      <vt:lpstr>Holidays!MaxHolidayYear</vt:lpstr>
      <vt:lpstr>US!MaxHolidayYear</vt:lpstr>
      <vt:lpstr>RefDate</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Jeff</dc:creator>
  <cp:lastModifiedBy>jeff argue</cp:lastModifiedBy>
  <dcterms:created xsi:type="dcterms:W3CDTF">2015-01-20T14:38:38Z</dcterms:created>
  <dcterms:modified xsi:type="dcterms:W3CDTF">2023-11-27T18:35:34Z</dcterms:modified>
</cp:coreProperties>
</file>