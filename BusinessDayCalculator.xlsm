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5.xml" ContentType="application/vnd.openxmlformats-officedocument.spreadsheetml.table+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docs.live.net/df0955573682edc4/Public/BusinessDayCalculator/"/>
    </mc:Choice>
  </mc:AlternateContent>
  <xr:revisionPtr revIDLastSave="109" documentId="13_ncr:1_{35772A86-0C23-41B5-9137-EDFC3D74060C}" xr6:coauthVersionLast="47" xr6:coauthVersionMax="47" xr10:uidLastSave="{DEBD2614-CE6D-4219-8A82-1046BA303AED}"/>
  <bookViews>
    <workbookView xWindow="2445" yWindow="1305" windowWidth="23250" windowHeight="13485" activeTab="1" xr2:uid="{00000000-000D-0000-FFFF-FFFF00000000}"/>
  </bookViews>
  <sheets>
    <sheet name="About" sheetId="5" r:id="rId1"/>
    <sheet name="Main" sheetId="1" r:id="rId2"/>
    <sheet name="US" sheetId="6" r:id="rId3"/>
    <sheet name="Easter Sundays" sheetId="7" r:id="rId4"/>
    <sheet name="Holidays" sheetId="4" state="hidden" r:id="rId5"/>
  </sheets>
  <functionGroups builtInGroupCount="19"/>
  <definedNames>
    <definedName name="_xlnm._FilterDatabase" localSheetId="1" hidden="1">Main!$F$10:$H$375</definedName>
    <definedName name="BusinessDayConv">Main!$G$6</definedName>
    <definedName name="BusinessDayConv2">Main!$K$6</definedName>
    <definedName name="ConventionSymbols" localSheetId="1">Table1[Symbol]</definedName>
    <definedName name="DateCalcYear">Main!$G$8</definedName>
    <definedName name="HolidayCalStart" localSheetId="4">Holidays!$L$8</definedName>
    <definedName name="HolidayCalStart" localSheetId="2">US!$L$8</definedName>
    <definedName name="HolidayDefStart" localSheetId="4">Holidays!$C$4</definedName>
    <definedName name="HolidayDefStart" localSheetId="2">US!$C$4</definedName>
    <definedName name="HolidaySheet">Main!$G$7</definedName>
    <definedName name="HolidaySheet2">Main!$K$7</definedName>
    <definedName name="HolidaySheetStatus">Main!$C$7</definedName>
    <definedName name="HolScheduleSheets" localSheetId="2">tblHolidayScheduleSheets[Holiday Schedule Sheets]</definedName>
    <definedName name="HolScheduleSheets">tblHolidayScheduleSheets[Holiday Schedule Sheets]</definedName>
    <definedName name="MaxHolidayYear" localSheetId="4">Holidays!$M$4</definedName>
    <definedName name="MaxHolidayYear" localSheetId="2">US!$M$4</definedName>
    <definedName name="RefDate">Main!$K$8</definedName>
  </definedNames>
  <calcPr calcId="191029" calcMode="manual"/>
  <extLst>
    <ext xmlns:x14="http://schemas.microsoft.com/office/spreadsheetml/2009/9/main" uri="{8193D73E-4604-4355-AFF4-8A2333D13BE4}">
      <x14:definedNames>
        <x14:definedName name="GetBusinessDate">
          <x14:argumentDescriptions count="3">
            <x14:argumentDescription index="0">Any date.</x14:argumentDescription>
            <x14:argumentDescription index="1">A valid business day convention.</x14:argumentDescription>
            <x14:argumentDescription index="2">Optional holiday calendar. The holiday calendar must be a vertical range of dates. If omitted, all calendar dates except weekends will be considered good business dates.</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1" l="1" a="1"/>
  <c r="C7" i="1"/>
  <c r="F11" i="1"/>
  <c r="G11" i="1" a="1"/>
  <c r="K16" i="1" a="1"/>
  <c r="K20" i="1" a="1"/>
  <c r="K49" i="1" a="1"/>
  <c r="K48" i="1" a="1"/>
  <c r="K31" i="1" a="1"/>
  <c r="K14" i="1" a="1"/>
  <c r="K34" i="1" a="1"/>
  <c r="K32" i="1" a="1"/>
  <c r="K25" i="1" a="1"/>
  <c r="K33" i="1" a="1"/>
  <c r="K41" i="1" a="1"/>
  <c r="K37" i="1" a="1"/>
  <c r="K26" i="1" a="1"/>
  <c r="K40" i="1" a="1"/>
  <c r="K24" i="1" a="1"/>
  <c r="K39" i="1" a="1"/>
  <c r="K50" i="1" a="1"/>
  <c r="K45" i="1" a="1"/>
  <c r="K21" i="1" a="1"/>
  <c r="K29" i="1" a="1"/>
  <c r="K13" i="1" a="1"/>
  <c r="K36" i="1" a="1"/>
  <c r="K35" i="1" a="1"/>
  <c r="K43" i="1" a="1"/>
  <c r="K15" i="1" a="1"/>
  <c r="K11" i="1" a="1"/>
  <c r="K22" i="1" a="1"/>
  <c r="K27" i="1" a="1"/>
  <c r="K23" i="1" a="1"/>
  <c r="K46" i="1" a="1"/>
  <c r="K30" i="1" a="1"/>
  <c r="K19" i="1" a="1"/>
  <c r="K47" i="1" a="1"/>
  <c r="K44" i="1" a="1"/>
  <c r="K42" i="1" a="1"/>
  <c r="K12" i="1" a="1"/>
  <c r="K18" i="1" a="1"/>
  <c r="K28" i="1" a="1"/>
  <c r="K38" i="1" a="1"/>
  <c r="K17" i="1" a="1"/>
  <c r="G11" i="1" l="1"/>
  <c r="F12" i="1"/>
  <c r="H11" i="1"/>
  <c r="K29" i="1"/>
  <c r="K17" i="1"/>
  <c r="K33" i="1"/>
  <c r="K46" i="1"/>
  <c r="K21" i="1"/>
  <c r="K38" i="1"/>
  <c r="M38" i="1" s="1"/>
  <c r="K25" i="1"/>
  <c r="M25" i="1" s="1"/>
  <c r="K23" i="1"/>
  <c r="K45" i="1"/>
  <c r="K28" i="1"/>
  <c r="K32" i="1"/>
  <c r="M32" i="1" s="1"/>
  <c r="K27" i="1"/>
  <c r="K50" i="1"/>
  <c r="K18" i="1"/>
  <c r="M18" i="1" s="1"/>
  <c r="K34" i="1"/>
  <c r="K22" i="1"/>
  <c r="M22" i="1" s="1"/>
  <c r="K39" i="1"/>
  <c r="K12" i="1"/>
  <c r="M12" i="1" s="1"/>
  <c r="K14" i="1"/>
  <c r="K11" i="1"/>
  <c r="K24" i="1"/>
  <c r="K42" i="1"/>
  <c r="K31" i="1"/>
  <c r="K15" i="1"/>
  <c r="K40" i="1"/>
  <c r="K44" i="1"/>
  <c r="K48" i="1"/>
  <c r="M48" i="1" s="1"/>
  <c r="K43" i="1"/>
  <c r="M43" i="1" s="1"/>
  <c r="K26" i="1"/>
  <c r="K47" i="1"/>
  <c r="K49" i="1"/>
  <c r="M49" i="1" s="1"/>
  <c r="K35" i="1"/>
  <c r="K37" i="1"/>
  <c r="M37" i="1" s="1"/>
  <c r="K19" i="1"/>
  <c r="M19" i="1" s="1"/>
  <c r="K20" i="1"/>
  <c r="K36" i="1"/>
  <c r="K41" i="1"/>
  <c r="K30" i="1"/>
  <c r="M30" i="1" s="1"/>
  <c r="K16" i="1"/>
  <c r="K13" i="1"/>
  <c r="M13" i="1" s="1"/>
  <c r="G12" i="1" a="1"/>
  <c r="M27" i="1"/>
  <c r="M36" i="1"/>
  <c r="M23" i="1"/>
  <c r="M11" i="1"/>
  <c r="M46" i="1"/>
  <c r="M15" i="1"/>
  <c r="M35" i="1"/>
  <c r="L41" i="1" a="1"/>
  <c r="L12" i="1" a="1"/>
  <c r="L45" i="1" a="1"/>
  <c r="L42" i="1" a="1"/>
  <c r="L49" i="1" a="1"/>
  <c r="L24" i="1" a="1"/>
  <c r="L31" i="1" a="1"/>
  <c r="L40" i="1" a="1"/>
  <c r="L39" i="1" a="1"/>
  <c r="L15" i="1" a="1"/>
  <c r="M44" i="1"/>
  <c r="M28" i="1"/>
  <c r="L11" i="1" a="1"/>
  <c r="L22" i="1" a="1"/>
  <c r="L17" i="1" a="1"/>
  <c r="L50" i="1" a="1"/>
  <c r="L48" i="1" a="1"/>
  <c r="M16" i="1"/>
  <c r="M31" i="1"/>
  <c r="M33" i="1"/>
  <c r="L18" i="1" a="1"/>
  <c r="L27" i="1" a="1"/>
  <c r="L36" i="1" a="1"/>
  <c r="L35" i="1" a="1"/>
  <c r="L19" i="1" a="1"/>
  <c r="M29" i="1"/>
  <c r="M39" i="1"/>
  <c r="M21" i="1"/>
  <c r="M24" i="1"/>
  <c r="M50" i="1"/>
  <c r="M41" i="1"/>
  <c r="M45" i="1"/>
  <c r="M40" i="1"/>
  <c r="M26" i="1"/>
  <c r="L20" i="1" a="1"/>
  <c r="L29" i="1" a="1"/>
  <c r="L23" i="1" a="1"/>
  <c r="L28" i="1" a="1"/>
  <c r="L26" i="1" a="1"/>
  <c r="L13" i="1" a="1"/>
  <c r="L38" i="1" a="1"/>
  <c r="L34" i="1" a="1"/>
  <c r="L44" i="1" a="1"/>
  <c r="L25" i="1" a="1"/>
  <c r="M42" i="1"/>
  <c r="M47" i="1"/>
  <c r="M17" i="1"/>
  <c r="L30" i="1" a="1"/>
  <c r="L32" i="1" a="1"/>
  <c r="L46" i="1" a="1"/>
  <c r="L33" i="1" a="1"/>
  <c r="L47" i="1" a="1"/>
  <c r="M20" i="1"/>
  <c r="M34" i="1"/>
  <c r="M14" i="1"/>
  <c r="L21" i="1" a="1"/>
  <c r="L14" i="1" a="1"/>
  <c r="L16" i="1" a="1"/>
  <c r="L37" i="1" a="1"/>
  <c r="L43" i="1" a="1"/>
  <c r="G12" i="1" l="1"/>
  <c r="F13" i="1"/>
  <c r="L35" i="1"/>
  <c r="L22" i="1"/>
  <c r="L49" i="1"/>
  <c r="L34" i="1"/>
  <c r="L47" i="1"/>
  <c r="L18" i="1"/>
  <c r="L26" i="1"/>
  <c r="L50" i="1"/>
  <c r="L43" i="1"/>
  <c r="L27" i="1"/>
  <c r="L48" i="1"/>
  <c r="L32" i="1"/>
  <c r="L44" i="1"/>
  <c r="L28" i="1"/>
  <c r="L40" i="1"/>
  <c r="L45" i="1"/>
  <c r="L13" i="1"/>
  <c r="L15" i="1"/>
  <c r="L23" i="1"/>
  <c r="L16" i="1"/>
  <c r="L31" i="1"/>
  <c r="L25" i="1"/>
  <c r="L30" i="1"/>
  <c r="L42" i="1"/>
  <c r="L38" i="1"/>
  <c r="L41" i="1"/>
  <c r="L24" i="1"/>
  <c r="L21" i="1"/>
  <c r="L36" i="1"/>
  <c r="L11" i="1"/>
  <c r="L46" i="1"/>
  <c r="L20" i="1"/>
  <c r="L14" i="1"/>
  <c r="L33" i="1"/>
  <c r="L19" i="1"/>
  <c r="L12" i="1"/>
  <c r="L17" i="1"/>
  <c r="L37" i="1"/>
  <c r="L39" i="1"/>
  <c r="L29" i="1"/>
  <c r="H12" i="1"/>
  <c r="G13" i="1" a="1"/>
  <c r="G13" i="1" l="1"/>
  <c r="F14" i="1"/>
  <c r="H13" i="1"/>
  <c r="G14" i="1" a="1"/>
  <c r="G14" i="1" l="1"/>
  <c r="F15" i="1"/>
  <c r="H14" i="1"/>
  <c r="G15" i="1" a="1"/>
  <c r="G15" i="1" l="1"/>
  <c r="F16" i="1"/>
  <c r="H15" i="1"/>
  <c r="G16" i="1" a="1"/>
  <c r="G16" i="1" l="1"/>
  <c r="F17" i="1"/>
  <c r="H16" i="1"/>
  <c r="G17" i="1" a="1"/>
  <c r="G17" i="1" l="1"/>
  <c r="F18" i="1"/>
  <c r="H17" i="1"/>
  <c r="G18" i="1" a="1"/>
  <c r="G18" i="1" l="1"/>
  <c r="F19" i="1"/>
  <c r="H18" i="1"/>
  <c r="G19" i="1" a="1"/>
  <c r="G19" i="1" l="1"/>
  <c r="F20" i="1"/>
  <c r="H19" i="1"/>
  <c r="G20" i="1" a="1"/>
  <c r="G20" i="1" l="1"/>
  <c r="F21" i="1"/>
  <c r="H20" i="1"/>
  <c r="G21" i="1" a="1"/>
  <c r="G21" i="1" l="1"/>
  <c r="F22" i="1"/>
  <c r="H21" i="1"/>
  <c r="G22" i="1" a="1"/>
  <c r="G22" i="1" l="1"/>
  <c r="F23" i="1"/>
  <c r="H22" i="1"/>
  <c r="G23" i="1" a="1"/>
  <c r="G23" i="1" l="1"/>
  <c r="F24" i="1"/>
  <c r="H23" i="1"/>
  <c r="G24" i="1" a="1"/>
  <c r="G24" i="1" l="1"/>
  <c r="F25" i="1"/>
  <c r="H24" i="1"/>
  <c r="G25" i="1" a="1"/>
  <c r="G25" i="1" l="1"/>
  <c r="F26" i="1"/>
  <c r="H25" i="1"/>
  <c r="G26" i="1" a="1"/>
  <c r="G26" i="1" l="1"/>
  <c r="F27" i="1"/>
  <c r="H26" i="1"/>
  <c r="G27" i="1" a="1"/>
  <c r="G27" i="1" l="1"/>
  <c r="F28" i="1"/>
  <c r="H27" i="1"/>
  <c r="G28" i="1" a="1"/>
  <c r="G28" i="1" l="1"/>
  <c r="F29" i="1"/>
  <c r="G29" i="1" a="1"/>
  <c r="H28" i="1"/>
  <c r="G29" i="1" l="1"/>
  <c r="F30" i="1"/>
  <c r="G30" i="1" a="1"/>
  <c r="H29" i="1"/>
  <c r="G30" i="1" l="1"/>
  <c r="F31" i="1"/>
  <c r="G31" i="1" a="1"/>
  <c r="H30" i="1"/>
  <c r="G31" i="1" l="1"/>
  <c r="F32" i="1"/>
  <c r="H31" i="1"/>
  <c r="G32" i="1" a="1"/>
  <c r="G32" i="1" l="1"/>
  <c r="F33" i="1"/>
  <c r="H32" i="1"/>
  <c r="G33" i="1" a="1"/>
  <c r="G33" i="1" l="1"/>
  <c r="F34" i="1"/>
  <c r="G34" i="1" a="1"/>
  <c r="H33" i="1"/>
  <c r="G34" i="1" l="1"/>
  <c r="F35" i="1"/>
  <c r="H34" i="1"/>
  <c r="G35" i="1" a="1"/>
  <c r="G35" i="1" l="1"/>
  <c r="F36" i="1"/>
  <c r="H35" i="1"/>
  <c r="G36" i="1" a="1"/>
  <c r="G36" i="1" l="1"/>
  <c r="F37" i="1"/>
  <c r="H36" i="1"/>
  <c r="G37" i="1" a="1"/>
  <c r="G37" i="1" l="1"/>
  <c r="F38" i="1"/>
  <c r="H37" i="1"/>
  <c r="G38" i="1" a="1"/>
  <c r="G38" i="1" l="1"/>
  <c r="F39" i="1"/>
  <c r="H38" i="1"/>
  <c r="G39" i="1" a="1"/>
  <c r="G39" i="1" l="1"/>
  <c r="F40" i="1"/>
  <c r="H39" i="1"/>
  <c r="G40" i="1" a="1"/>
  <c r="G40" i="1" l="1"/>
  <c r="F41" i="1"/>
  <c r="H40" i="1"/>
  <c r="G41" i="1" a="1"/>
  <c r="G41" i="1" l="1"/>
  <c r="F42" i="1"/>
  <c r="G42" i="1" a="1"/>
  <c r="H41" i="1"/>
  <c r="G42" i="1" l="1"/>
  <c r="F43" i="1"/>
  <c r="G43" i="1" a="1"/>
  <c r="H42" i="1"/>
  <c r="G43" i="1" l="1"/>
  <c r="F44" i="1"/>
  <c r="H43" i="1"/>
  <c r="G44" i="1" a="1"/>
  <c r="G44" i="1" l="1"/>
  <c r="F45" i="1"/>
  <c r="G45" i="1" a="1"/>
  <c r="H44" i="1"/>
  <c r="G45" i="1" l="1"/>
  <c r="F46" i="1"/>
  <c r="H45" i="1"/>
  <c r="G46" i="1" a="1"/>
  <c r="G46" i="1" l="1"/>
  <c r="F47" i="1"/>
  <c r="H46" i="1"/>
  <c r="G47" i="1" a="1"/>
  <c r="G47" i="1" l="1"/>
  <c r="F48" i="1"/>
  <c r="H47" i="1"/>
  <c r="G48" i="1" a="1"/>
  <c r="G48" i="1" l="1"/>
  <c r="F49" i="1"/>
  <c r="H48" i="1"/>
  <c r="G49" i="1" a="1"/>
  <c r="G49" i="1" l="1"/>
  <c r="F50" i="1"/>
  <c r="H49" i="1"/>
  <c r="G50" i="1" a="1"/>
  <c r="G50" i="1" l="1"/>
  <c r="F51" i="1"/>
  <c r="G51" i="1" a="1"/>
  <c r="H50" i="1"/>
  <c r="G51" i="1" l="1"/>
  <c r="F52" i="1"/>
  <c r="H51" i="1"/>
  <c r="G52" i="1" a="1"/>
  <c r="G52" i="1" l="1"/>
  <c r="F53" i="1"/>
  <c r="H52" i="1"/>
  <c r="G53" i="1" a="1"/>
  <c r="G53" i="1" l="1"/>
  <c r="F54" i="1"/>
  <c r="H53" i="1"/>
  <c r="G54" i="1" a="1"/>
  <c r="G54" i="1" l="1"/>
  <c r="F55" i="1"/>
  <c r="G55" i="1" a="1"/>
  <c r="H54" i="1"/>
  <c r="G55" i="1" l="1"/>
  <c r="F56" i="1"/>
  <c r="H55" i="1"/>
  <c r="G56" i="1" a="1"/>
  <c r="G56" i="1" l="1"/>
  <c r="F57" i="1"/>
  <c r="H56" i="1"/>
  <c r="G57" i="1" a="1"/>
  <c r="G57" i="1" l="1"/>
  <c r="F58" i="1"/>
  <c r="G58" i="1" a="1"/>
  <c r="H57" i="1"/>
  <c r="G58" i="1" l="1"/>
  <c r="F59" i="1"/>
  <c r="G59" i="1" a="1"/>
  <c r="H58" i="1"/>
  <c r="G59" i="1" l="1"/>
  <c r="F60" i="1"/>
  <c r="H59" i="1"/>
  <c r="G60" i="1" a="1"/>
  <c r="G60" i="1" l="1"/>
  <c r="F61" i="1"/>
  <c r="H60" i="1"/>
  <c r="G61" i="1" a="1"/>
  <c r="G61" i="1" l="1"/>
  <c r="F62" i="1"/>
  <c r="H61" i="1"/>
  <c r="G62" i="1" a="1"/>
  <c r="G62" i="1" l="1"/>
  <c r="F63" i="1"/>
  <c r="H62" i="1"/>
  <c r="G63" i="1" a="1"/>
  <c r="G63" i="1" l="1"/>
  <c r="F64" i="1"/>
  <c r="H63" i="1"/>
  <c r="G64" i="1" a="1"/>
  <c r="G64" i="1" l="1"/>
  <c r="F65" i="1"/>
  <c r="H64" i="1"/>
  <c r="G65" i="1" a="1"/>
  <c r="G65" i="1" l="1"/>
  <c r="F66" i="1"/>
  <c r="H65" i="1"/>
  <c r="G66" i="1" a="1"/>
  <c r="G66" i="1" l="1"/>
  <c r="F67" i="1"/>
  <c r="H66" i="1"/>
  <c r="G67" i="1" a="1"/>
  <c r="G67" i="1" l="1"/>
  <c r="F68" i="1"/>
  <c r="H67" i="1"/>
  <c r="G68" i="1" a="1"/>
  <c r="G68" i="1" l="1"/>
  <c r="F69" i="1"/>
  <c r="H68" i="1"/>
  <c r="G69" i="1" a="1"/>
  <c r="G69" i="1" l="1"/>
  <c r="F70" i="1"/>
  <c r="H69" i="1"/>
  <c r="G70" i="1" a="1"/>
  <c r="G70" i="1" l="1"/>
  <c r="F71" i="1"/>
  <c r="H70" i="1"/>
  <c r="G71" i="1" a="1"/>
  <c r="G71" i="1" l="1"/>
  <c r="F72" i="1"/>
  <c r="H71" i="1"/>
  <c r="G72" i="1" a="1"/>
  <c r="G72" i="1" l="1"/>
  <c r="F73" i="1"/>
  <c r="H72" i="1"/>
  <c r="G73" i="1" a="1"/>
  <c r="G73" i="1" l="1"/>
  <c r="F74" i="1"/>
  <c r="H73" i="1"/>
  <c r="G74" i="1" a="1"/>
  <c r="G74" i="1" l="1"/>
  <c r="F75" i="1"/>
  <c r="H74" i="1"/>
  <c r="G75" i="1" a="1"/>
  <c r="G75" i="1" l="1"/>
  <c r="F76" i="1"/>
  <c r="H75" i="1"/>
  <c r="G76" i="1" a="1"/>
  <c r="G76" i="1" l="1"/>
  <c r="F77" i="1"/>
  <c r="H76" i="1"/>
  <c r="G77" i="1" a="1"/>
  <c r="G77" i="1" l="1"/>
  <c r="F78" i="1"/>
  <c r="H77" i="1"/>
  <c r="G78" i="1" a="1"/>
  <c r="G78" i="1" l="1"/>
  <c r="F79" i="1"/>
  <c r="H78" i="1"/>
  <c r="G79" i="1" a="1"/>
  <c r="G79" i="1" l="1"/>
  <c r="F80" i="1"/>
  <c r="H79" i="1"/>
  <c r="G80" i="1" a="1"/>
  <c r="G80" i="1" l="1"/>
  <c r="F81" i="1"/>
  <c r="H80" i="1"/>
  <c r="G81" i="1" a="1"/>
  <c r="G81" i="1" l="1"/>
  <c r="F82" i="1"/>
  <c r="H81" i="1"/>
  <c r="G82" i="1" a="1"/>
  <c r="G82" i="1" l="1"/>
  <c r="F83" i="1"/>
  <c r="H82" i="1"/>
  <c r="G83" i="1" a="1"/>
  <c r="G83" i="1" l="1"/>
  <c r="F84" i="1"/>
  <c r="H83" i="1"/>
  <c r="G84" i="1" a="1"/>
  <c r="G84" i="1" l="1"/>
  <c r="F85" i="1"/>
  <c r="H84" i="1"/>
  <c r="G85" i="1" a="1"/>
  <c r="G85" i="1" l="1"/>
  <c r="F86" i="1"/>
  <c r="H85" i="1"/>
  <c r="G86" i="1" a="1"/>
  <c r="G86" i="1" l="1"/>
  <c r="F87" i="1"/>
  <c r="H86" i="1"/>
  <c r="G87" i="1" a="1"/>
  <c r="G87" i="1" l="1"/>
  <c r="F88" i="1"/>
  <c r="H87" i="1"/>
  <c r="G88" i="1" a="1"/>
  <c r="G88" i="1" l="1"/>
  <c r="F89" i="1"/>
  <c r="H88" i="1"/>
  <c r="G89" i="1" a="1"/>
  <c r="G89" i="1" l="1"/>
  <c r="F90" i="1"/>
  <c r="H89" i="1"/>
  <c r="G90" i="1" a="1"/>
  <c r="G90" i="1" l="1"/>
  <c r="F91" i="1"/>
  <c r="H90" i="1"/>
  <c r="G91" i="1" a="1"/>
  <c r="G91" i="1" l="1"/>
  <c r="F92" i="1"/>
  <c r="H91" i="1"/>
  <c r="G92" i="1" a="1"/>
  <c r="G92" i="1" l="1"/>
  <c r="F93" i="1"/>
  <c r="H92" i="1"/>
  <c r="G93" i="1" a="1"/>
  <c r="G93" i="1" l="1"/>
  <c r="F94" i="1"/>
  <c r="G94" i="1" a="1"/>
  <c r="H93" i="1"/>
  <c r="G94" i="1" l="1"/>
  <c r="F95" i="1"/>
  <c r="H94" i="1"/>
  <c r="G95" i="1" a="1"/>
  <c r="G95" i="1" l="1"/>
  <c r="F96" i="1"/>
  <c r="H95" i="1"/>
  <c r="G96" i="1" a="1"/>
  <c r="G96" i="1" l="1"/>
  <c r="F97" i="1"/>
  <c r="H96" i="1"/>
  <c r="G97" i="1" a="1"/>
  <c r="G97" i="1" l="1"/>
  <c r="F98" i="1"/>
  <c r="H97" i="1"/>
  <c r="G98" i="1" a="1"/>
  <c r="G98" i="1" l="1"/>
  <c r="F99" i="1"/>
  <c r="H98" i="1"/>
  <c r="G99" i="1" a="1"/>
  <c r="G99" i="1" l="1"/>
  <c r="F100" i="1"/>
  <c r="H99" i="1"/>
  <c r="G100" i="1" a="1"/>
  <c r="G100" i="1" l="1"/>
  <c r="F101" i="1"/>
  <c r="H100" i="1"/>
  <c r="G101" i="1" a="1"/>
  <c r="G101" i="1" l="1"/>
  <c r="F102" i="1"/>
  <c r="H101" i="1"/>
  <c r="G102" i="1" a="1"/>
  <c r="G102" i="1" l="1"/>
  <c r="F103" i="1"/>
  <c r="H102" i="1"/>
  <c r="G103" i="1" a="1"/>
  <c r="G103" i="1" l="1"/>
  <c r="F104" i="1"/>
  <c r="H103" i="1"/>
  <c r="G104" i="1" a="1"/>
  <c r="G104" i="1" l="1"/>
  <c r="F105" i="1"/>
  <c r="H104" i="1"/>
  <c r="G105" i="1" a="1"/>
  <c r="G105" i="1" l="1"/>
  <c r="F106" i="1"/>
  <c r="H105" i="1"/>
  <c r="G106" i="1" a="1"/>
  <c r="G106" i="1" l="1"/>
  <c r="F107" i="1"/>
  <c r="H106" i="1"/>
  <c r="G107" i="1" a="1"/>
  <c r="G107" i="1" l="1"/>
  <c r="F108" i="1"/>
  <c r="H107" i="1"/>
  <c r="G108" i="1" a="1"/>
  <c r="G108" i="1" l="1"/>
  <c r="F109" i="1"/>
  <c r="H108" i="1"/>
  <c r="G109" i="1" a="1"/>
  <c r="G109" i="1" l="1"/>
  <c r="F110" i="1"/>
  <c r="H109" i="1"/>
  <c r="G110" i="1" a="1"/>
  <c r="G110" i="1" l="1"/>
  <c r="F111" i="1"/>
  <c r="H110" i="1"/>
  <c r="G111" i="1" a="1"/>
  <c r="G111" i="1" l="1"/>
  <c r="F112" i="1"/>
  <c r="H111" i="1"/>
  <c r="G112" i="1" a="1"/>
  <c r="G112" i="1" l="1"/>
  <c r="F113" i="1"/>
  <c r="H112" i="1"/>
  <c r="G113" i="1" a="1"/>
  <c r="G113" i="1" l="1"/>
  <c r="F114" i="1"/>
  <c r="H113" i="1"/>
  <c r="G114" i="1" a="1"/>
  <c r="G114" i="1" l="1"/>
  <c r="F115" i="1"/>
  <c r="H114" i="1"/>
  <c r="G115" i="1" a="1"/>
  <c r="G115" i="1" l="1"/>
  <c r="F116" i="1"/>
  <c r="H115" i="1"/>
  <c r="G116" i="1" a="1"/>
  <c r="G116" i="1" l="1"/>
  <c r="F117" i="1"/>
  <c r="H116" i="1"/>
  <c r="G117" i="1" a="1"/>
  <c r="G117" i="1" l="1"/>
  <c r="F118" i="1"/>
  <c r="H117" i="1"/>
  <c r="G118" i="1" a="1"/>
  <c r="G118" i="1" l="1"/>
  <c r="F119" i="1"/>
  <c r="H118" i="1"/>
  <c r="G119" i="1" a="1"/>
  <c r="G119" i="1" l="1"/>
  <c r="F120" i="1"/>
  <c r="H119" i="1"/>
  <c r="G120" i="1" a="1"/>
  <c r="G120" i="1" l="1"/>
  <c r="F121" i="1"/>
  <c r="G121" i="1" a="1"/>
  <c r="H120" i="1"/>
  <c r="G121" i="1" l="1"/>
  <c r="F122" i="1"/>
  <c r="G122" i="1" a="1"/>
  <c r="H121" i="1"/>
  <c r="G122" i="1" l="1"/>
  <c r="F123" i="1"/>
  <c r="H122" i="1"/>
  <c r="G123" i="1" a="1"/>
  <c r="G123" i="1" l="1"/>
  <c r="F124" i="1"/>
  <c r="H123" i="1"/>
  <c r="G124" i="1" a="1"/>
  <c r="G124" i="1" l="1"/>
  <c r="F125" i="1"/>
  <c r="H124" i="1"/>
  <c r="G125" i="1" a="1"/>
  <c r="G125" i="1" l="1"/>
  <c r="F126" i="1"/>
  <c r="H125" i="1"/>
  <c r="G126" i="1" a="1"/>
  <c r="G126" i="1" l="1"/>
  <c r="F127" i="1"/>
  <c r="H126" i="1"/>
  <c r="G127" i="1" a="1"/>
  <c r="G127" i="1" l="1"/>
  <c r="F128" i="1"/>
  <c r="H127" i="1"/>
  <c r="G128" i="1" a="1"/>
  <c r="G128" i="1" l="1"/>
  <c r="F129" i="1"/>
  <c r="H128" i="1"/>
  <c r="G129" i="1" a="1"/>
  <c r="G129" i="1" l="1"/>
  <c r="F130" i="1"/>
  <c r="H129" i="1"/>
  <c r="G130" i="1" a="1"/>
  <c r="G130" i="1" l="1"/>
  <c r="F131" i="1"/>
  <c r="H130" i="1"/>
  <c r="G131" i="1" a="1"/>
  <c r="G131" i="1" l="1"/>
  <c r="F132" i="1"/>
  <c r="G132" i="1" a="1"/>
  <c r="H131" i="1"/>
  <c r="G132" i="1" l="1"/>
  <c r="F133" i="1"/>
  <c r="G133" i="1" a="1"/>
  <c r="H132" i="1"/>
  <c r="G133" i="1" l="1"/>
  <c r="F134" i="1"/>
  <c r="H133" i="1"/>
  <c r="G134" i="1" a="1"/>
  <c r="G134" i="1" l="1"/>
  <c r="F135" i="1"/>
  <c r="H134" i="1"/>
  <c r="G135" i="1" a="1"/>
  <c r="G135" i="1" l="1"/>
  <c r="F136" i="1"/>
  <c r="H135" i="1"/>
  <c r="G136" i="1" a="1"/>
  <c r="G136" i="1" l="1"/>
  <c r="F137" i="1"/>
  <c r="H136" i="1"/>
  <c r="G137" i="1" a="1"/>
  <c r="G137" i="1" l="1"/>
  <c r="F138" i="1"/>
  <c r="H137" i="1"/>
  <c r="G138" i="1" a="1"/>
  <c r="G138" i="1" l="1"/>
  <c r="F139" i="1"/>
  <c r="H138" i="1"/>
  <c r="G139" i="1" a="1"/>
  <c r="G139" i="1" l="1"/>
  <c r="F140" i="1"/>
  <c r="H139" i="1"/>
  <c r="G140" i="1" a="1"/>
  <c r="G140" i="1" l="1"/>
  <c r="F141" i="1"/>
  <c r="H140" i="1"/>
  <c r="G141" i="1" a="1"/>
  <c r="G141" i="1" l="1"/>
  <c r="F142" i="1"/>
  <c r="H141" i="1"/>
  <c r="G142" i="1" a="1"/>
  <c r="G142" i="1" l="1"/>
  <c r="F143" i="1"/>
  <c r="H142" i="1"/>
  <c r="G143" i="1" a="1"/>
  <c r="G143" i="1" l="1"/>
  <c r="F144" i="1"/>
  <c r="H143" i="1"/>
  <c r="G144" i="1" a="1"/>
  <c r="G144" i="1" l="1"/>
  <c r="F145" i="1"/>
  <c r="H144" i="1"/>
  <c r="G145" i="1" a="1"/>
  <c r="G145" i="1" l="1"/>
  <c r="F146" i="1"/>
  <c r="H145" i="1"/>
  <c r="G146" i="1" a="1"/>
  <c r="G146" i="1" l="1"/>
  <c r="F147" i="1"/>
  <c r="H146" i="1"/>
  <c r="G147" i="1" a="1"/>
  <c r="G147" i="1" l="1"/>
  <c r="F148" i="1"/>
  <c r="H147" i="1"/>
  <c r="G148" i="1" a="1"/>
  <c r="G148" i="1" l="1"/>
  <c r="F149" i="1"/>
  <c r="H148" i="1"/>
  <c r="G149" i="1" a="1"/>
  <c r="G149" i="1" l="1"/>
  <c r="F150" i="1"/>
  <c r="H149" i="1"/>
  <c r="G150" i="1" a="1"/>
  <c r="G150" i="1" l="1"/>
  <c r="F151" i="1"/>
  <c r="H150" i="1"/>
  <c r="G151" i="1" a="1"/>
  <c r="G151" i="1" l="1"/>
  <c r="F152" i="1"/>
  <c r="H151" i="1"/>
  <c r="G152" i="1" a="1"/>
  <c r="G152" i="1" l="1"/>
  <c r="F153" i="1"/>
  <c r="H152" i="1"/>
  <c r="G153" i="1" a="1"/>
  <c r="G153" i="1" l="1"/>
  <c r="F154" i="1"/>
  <c r="H153" i="1"/>
  <c r="G154" i="1" a="1"/>
  <c r="G154" i="1" l="1"/>
  <c r="F155" i="1"/>
  <c r="H154" i="1"/>
  <c r="G155" i="1" a="1"/>
  <c r="G155" i="1" l="1"/>
  <c r="F156" i="1"/>
  <c r="H155" i="1"/>
  <c r="G156" i="1" a="1"/>
  <c r="G156" i="1" l="1"/>
  <c r="F157" i="1"/>
  <c r="H156" i="1"/>
  <c r="G157" i="1" a="1"/>
  <c r="G157" i="1" l="1"/>
  <c r="F158" i="1"/>
  <c r="H157" i="1"/>
  <c r="G158" i="1" a="1"/>
  <c r="G158" i="1" l="1"/>
  <c r="F159" i="1"/>
  <c r="H158" i="1"/>
  <c r="G159" i="1" a="1"/>
  <c r="G159" i="1" l="1"/>
  <c r="F160" i="1"/>
  <c r="H159" i="1"/>
  <c r="G160" i="1" a="1"/>
  <c r="G160" i="1" l="1"/>
  <c r="F161" i="1"/>
  <c r="G161" i="1" a="1"/>
  <c r="H160" i="1"/>
  <c r="G161" i="1" l="1"/>
  <c r="F162" i="1"/>
  <c r="G162" i="1" a="1"/>
  <c r="H161" i="1"/>
  <c r="G162" i="1" l="1"/>
  <c r="F163" i="1"/>
  <c r="G163" i="1" a="1"/>
  <c r="H162" i="1"/>
  <c r="G163" i="1" l="1"/>
  <c r="F164" i="1"/>
  <c r="G164" i="1" a="1"/>
  <c r="H163" i="1"/>
  <c r="G164" i="1" l="1"/>
  <c r="F165" i="1"/>
  <c r="H164" i="1"/>
  <c r="G165" i="1" a="1"/>
  <c r="G165" i="1" l="1"/>
  <c r="F166" i="1"/>
  <c r="H165" i="1"/>
  <c r="G166" i="1" a="1"/>
  <c r="G166" i="1" l="1"/>
  <c r="F167" i="1"/>
  <c r="H166" i="1"/>
  <c r="G167" i="1" a="1"/>
  <c r="G167" i="1" l="1"/>
  <c r="F168" i="1"/>
  <c r="H167" i="1"/>
  <c r="G168" i="1" a="1"/>
  <c r="G168" i="1" l="1"/>
  <c r="F169" i="1"/>
  <c r="H168" i="1"/>
  <c r="G169" i="1" a="1"/>
  <c r="G169" i="1" l="1"/>
  <c r="F170" i="1"/>
  <c r="H169" i="1"/>
  <c r="G170" i="1" a="1"/>
  <c r="G170" i="1" l="1"/>
  <c r="F171" i="1"/>
  <c r="H170" i="1"/>
  <c r="G171" i="1" a="1"/>
  <c r="G171" i="1" l="1"/>
  <c r="F172" i="1"/>
  <c r="H171" i="1"/>
  <c r="G172" i="1" a="1"/>
  <c r="G172" i="1" l="1"/>
  <c r="F173" i="1"/>
  <c r="H172" i="1"/>
  <c r="G173" i="1" a="1"/>
  <c r="G173" i="1" l="1"/>
  <c r="F174" i="1"/>
  <c r="G174" i="1" a="1"/>
  <c r="H173" i="1"/>
  <c r="G174" i="1" l="1"/>
  <c r="F175" i="1"/>
  <c r="H174" i="1"/>
  <c r="G175" i="1" a="1"/>
  <c r="G175" i="1" l="1"/>
  <c r="F176" i="1"/>
  <c r="H175" i="1"/>
  <c r="G176" i="1" a="1"/>
  <c r="G176" i="1" l="1"/>
  <c r="F177" i="1"/>
  <c r="H176" i="1"/>
  <c r="G177" i="1" a="1"/>
  <c r="G177" i="1" l="1"/>
  <c r="F178" i="1"/>
  <c r="G178" i="1" a="1"/>
  <c r="H177" i="1"/>
  <c r="G178" i="1" l="1"/>
  <c r="F179" i="1"/>
  <c r="H178" i="1"/>
  <c r="G179" i="1" a="1"/>
  <c r="G179" i="1" l="1"/>
  <c r="F180" i="1"/>
  <c r="H179" i="1"/>
  <c r="G180" i="1" a="1"/>
  <c r="G180" i="1" l="1"/>
  <c r="F181" i="1"/>
  <c r="H180" i="1"/>
  <c r="G181" i="1" a="1"/>
  <c r="G181" i="1" l="1"/>
  <c r="F182" i="1"/>
  <c r="H181" i="1"/>
  <c r="G182" i="1" a="1"/>
  <c r="G182" i="1" l="1"/>
  <c r="F183" i="1"/>
  <c r="G183" i="1" a="1"/>
  <c r="H182" i="1"/>
  <c r="G183" i="1" l="1"/>
  <c r="F184" i="1"/>
  <c r="G184" i="1" a="1"/>
  <c r="H183" i="1"/>
  <c r="G184" i="1" l="1"/>
  <c r="F185" i="1"/>
  <c r="H184" i="1"/>
  <c r="G185" i="1" a="1"/>
  <c r="G185" i="1" l="1"/>
  <c r="F186" i="1"/>
  <c r="H185" i="1"/>
  <c r="G186" i="1" a="1"/>
  <c r="G186" i="1" l="1"/>
  <c r="F187" i="1"/>
  <c r="H186" i="1"/>
  <c r="G187" i="1" a="1"/>
  <c r="G187" i="1" l="1"/>
  <c r="F188" i="1"/>
  <c r="H187" i="1"/>
  <c r="G188" i="1" a="1"/>
  <c r="G188" i="1" l="1"/>
  <c r="F189" i="1"/>
  <c r="G189" i="1" a="1"/>
  <c r="H188" i="1"/>
  <c r="G189" i="1" l="1"/>
  <c r="F190" i="1"/>
  <c r="H189" i="1"/>
  <c r="G190" i="1" a="1"/>
  <c r="G190" i="1" l="1"/>
  <c r="F191" i="1"/>
  <c r="H190" i="1"/>
  <c r="G191" i="1" a="1"/>
  <c r="G191" i="1" l="1"/>
  <c r="F192" i="1"/>
  <c r="H191" i="1"/>
  <c r="G192" i="1" a="1"/>
  <c r="G192" i="1" l="1"/>
  <c r="F193" i="1"/>
  <c r="H192" i="1"/>
  <c r="G193" i="1" a="1"/>
  <c r="G193" i="1" l="1"/>
  <c r="F194" i="1"/>
  <c r="H193" i="1"/>
  <c r="G194" i="1" a="1"/>
  <c r="G194" i="1" l="1"/>
  <c r="F195" i="1"/>
  <c r="H194" i="1"/>
  <c r="G195" i="1" a="1"/>
  <c r="G195" i="1" l="1"/>
  <c r="F196" i="1"/>
  <c r="G196" i="1" a="1"/>
  <c r="H195" i="1"/>
  <c r="G196" i="1" l="1"/>
  <c r="F197" i="1"/>
  <c r="H196" i="1"/>
  <c r="G197" i="1" a="1"/>
  <c r="G197" i="1" l="1"/>
  <c r="F198" i="1"/>
  <c r="H197" i="1"/>
  <c r="G198" i="1" a="1"/>
  <c r="G198" i="1" l="1"/>
  <c r="F199" i="1"/>
  <c r="H198" i="1"/>
  <c r="G199" i="1" a="1"/>
  <c r="G199" i="1" l="1"/>
  <c r="F200" i="1"/>
  <c r="H199" i="1"/>
  <c r="G200" i="1" a="1"/>
  <c r="G200" i="1" l="1"/>
  <c r="F201" i="1"/>
  <c r="H200" i="1"/>
  <c r="G201" i="1" a="1"/>
  <c r="G201" i="1" l="1"/>
  <c r="F202" i="1"/>
  <c r="H201" i="1"/>
  <c r="G202" i="1" a="1"/>
  <c r="G202" i="1" l="1"/>
  <c r="F203" i="1"/>
  <c r="H202" i="1"/>
  <c r="G203" i="1" a="1"/>
  <c r="G203" i="1" l="1"/>
  <c r="F204" i="1"/>
  <c r="H203" i="1"/>
  <c r="G204" i="1" a="1"/>
  <c r="G204" i="1" l="1"/>
  <c r="F205" i="1"/>
  <c r="H204" i="1"/>
  <c r="G205" i="1" a="1"/>
  <c r="G205" i="1" l="1"/>
  <c r="F206" i="1"/>
  <c r="H205" i="1"/>
  <c r="G206" i="1" a="1"/>
  <c r="G206" i="1" l="1"/>
  <c r="F207" i="1"/>
  <c r="H206" i="1"/>
  <c r="G207" i="1" a="1"/>
  <c r="G207" i="1" l="1"/>
  <c r="F208" i="1"/>
  <c r="H207" i="1"/>
  <c r="G208" i="1" a="1"/>
  <c r="G208" i="1" l="1"/>
  <c r="F209" i="1"/>
  <c r="G209" i="1" a="1"/>
  <c r="H208" i="1"/>
  <c r="G209" i="1" l="1"/>
  <c r="F210" i="1"/>
  <c r="H209" i="1"/>
  <c r="G210" i="1" a="1"/>
  <c r="G210" i="1" l="1"/>
  <c r="F211" i="1"/>
  <c r="H210" i="1"/>
  <c r="G211" i="1" a="1"/>
  <c r="G211" i="1" l="1"/>
  <c r="F212" i="1"/>
  <c r="H211" i="1"/>
  <c r="G212" i="1" a="1"/>
  <c r="G212" i="1" l="1"/>
  <c r="F213" i="1"/>
  <c r="H212" i="1"/>
  <c r="G213" i="1" a="1"/>
  <c r="G213" i="1" l="1"/>
  <c r="F214" i="1"/>
  <c r="H213" i="1"/>
  <c r="G214" i="1" a="1"/>
  <c r="G214" i="1" l="1"/>
  <c r="F215" i="1"/>
  <c r="H214" i="1"/>
  <c r="G215" i="1" a="1"/>
  <c r="G215" i="1" l="1"/>
  <c r="F216" i="1"/>
  <c r="H215" i="1"/>
  <c r="G216" i="1" a="1"/>
  <c r="G216" i="1" l="1"/>
  <c r="F217" i="1"/>
  <c r="H216" i="1"/>
  <c r="G217" i="1" a="1"/>
  <c r="G217" i="1" l="1"/>
  <c r="F218" i="1"/>
  <c r="H217" i="1"/>
  <c r="G218" i="1" a="1"/>
  <c r="G218" i="1" l="1"/>
  <c r="F219" i="1"/>
  <c r="H218" i="1"/>
  <c r="G219" i="1" a="1"/>
  <c r="G219" i="1" l="1"/>
  <c r="F220" i="1"/>
  <c r="H219" i="1"/>
  <c r="G220" i="1" a="1"/>
  <c r="G220" i="1" l="1"/>
  <c r="F221" i="1"/>
  <c r="H220" i="1"/>
  <c r="G221" i="1" a="1"/>
  <c r="G221" i="1" l="1"/>
  <c r="F222" i="1"/>
  <c r="H221" i="1"/>
  <c r="G222" i="1" a="1"/>
  <c r="G222" i="1" l="1"/>
  <c r="F223" i="1"/>
  <c r="H222" i="1"/>
  <c r="G223" i="1" a="1"/>
  <c r="G223" i="1" l="1"/>
  <c r="F224" i="1"/>
  <c r="H223" i="1"/>
  <c r="G224" i="1" a="1"/>
  <c r="G224" i="1" l="1"/>
  <c r="F225" i="1"/>
  <c r="H224" i="1"/>
  <c r="G225" i="1" a="1"/>
  <c r="G225" i="1" l="1"/>
  <c r="F226" i="1"/>
  <c r="G226" i="1" a="1"/>
  <c r="H225" i="1"/>
  <c r="G226" i="1" l="1"/>
  <c r="F227" i="1"/>
  <c r="G227" i="1" a="1"/>
  <c r="H226" i="1"/>
  <c r="G227" i="1" l="1"/>
  <c r="F228" i="1"/>
  <c r="H227" i="1"/>
  <c r="G228" i="1" a="1"/>
  <c r="G228" i="1" l="1"/>
  <c r="F229" i="1"/>
  <c r="H228" i="1"/>
  <c r="G229" i="1" a="1"/>
  <c r="G229" i="1" l="1"/>
  <c r="F230" i="1"/>
  <c r="H229" i="1"/>
  <c r="G230" i="1" a="1"/>
  <c r="G230" i="1" l="1"/>
  <c r="F231" i="1"/>
  <c r="H230" i="1"/>
  <c r="G231" i="1" a="1"/>
  <c r="G231" i="1" l="1"/>
  <c r="F232" i="1"/>
  <c r="H231" i="1"/>
  <c r="G232" i="1" a="1"/>
  <c r="G232" i="1" l="1"/>
  <c r="F233" i="1"/>
  <c r="H232" i="1"/>
  <c r="G233" i="1" a="1"/>
  <c r="G233" i="1" l="1"/>
  <c r="F234" i="1"/>
  <c r="H233" i="1"/>
  <c r="G234" i="1" a="1"/>
  <c r="G234" i="1" l="1"/>
  <c r="F235" i="1"/>
  <c r="H234" i="1"/>
  <c r="G235" i="1" a="1"/>
  <c r="G235" i="1" l="1"/>
  <c r="F236" i="1"/>
  <c r="H235" i="1"/>
  <c r="G236" i="1" a="1"/>
  <c r="G236" i="1" l="1"/>
  <c r="F237" i="1"/>
  <c r="H236" i="1"/>
  <c r="G237" i="1" a="1"/>
  <c r="G237" i="1" l="1"/>
  <c r="F238" i="1"/>
  <c r="H237" i="1"/>
  <c r="G238" i="1" a="1"/>
  <c r="G238" i="1" l="1"/>
  <c r="F239" i="1"/>
  <c r="H238" i="1"/>
  <c r="G239" i="1" a="1"/>
  <c r="G239" i="1" l="1"/>
  <c r="F240" i="1"/>
  <c r="H239" i="1"/>
  <c r="G240" i="1" a="1"/>
  <c r="G240" i="1" l="1"/>
  <c r="F241" i="1"/>
  <c r="H240" i="1"/>
  <c r="G241" i="1" a="1"/>
  <c r="G241" i="1" l="1"/>
  <c r="F242" i="1"/>
  <c r="H241" i="1"/>
  <c r="G242" i="1" a="1"/>
  <c r="G242" i="1" l="1"/>
  <c r="F243" i="1"/>
  <c r="H242" i="1"/>
  <c r="G243" i="1" a="1"/>
  <c r="G243" i="1" l="1"/>
  <c r="F244" i="1"/>
  <c r="H243" i="1"/>
  <c r="G244" i="1" a="1"/>
  <c r="G244" i="1" l="1"/>
  <c r="F245" i="1"/>
  <c r="H244" i="1"/>
  <c r="G245" i="1" a="1"/>
  <c r="G245" i="1" l="1"/>
  <c r="F246" i="1"/>
  <c r="H245" i="1"/>
  <c r="G246" i="1" a="1"/>
  <c r="G246" i="1" l="1"/>
  <c r="F247" i="1"/>
  <c r="H246" i="1"/>
  <c r="G247" i="1" a="1"/>
  <c r="G247" i="1" l="1"/>
  <c r="F248" i="1"/>
  <c r="H247" i="1"/>
  <c r="G248" i="1" a="1"/>
  <c r="G248" i="1" l="1"/>
  <c r="F249" i="1"/>
  <c r="H248" i="1"/>
  <c r="G249" i="1" a="1"/>
  <c r="G249" i="1" l="1"/>
  <c r="F250" i="1"/>
  <c r="H249" i="1"/>
  <c r="G250" i="1" a="1"/>
  <c r="G250" i="1" l="1"/>
  <c r="F251" i="1"/>
  <c r="H250" i="1"/>
  <c r="G251" i="1" a="1"/>
  <c r="G251" i="1" l="1"/>
  <c r="F252" i="1"/>
  <c r="H251" i="1"/>
  <c r="G252" i="1" a="1"/>
  <c r="G252" i="1" l="1"/>
  <c r="F253" i="1"/>
  <c r="G253" i="1" a="1"/>
  <c r="H252" i="1"/>
  <c r="G253" i="1" l="1"/>
  <c r="F254" i="1"/>
  <c r="H253" i="1"/>
  <c r="G254" i="1" a="1"/>
  <c r="G254" i="1" l="1"/>
  <c r="F255" i="1"/>
  <c r="H254" i="1"/>
  <c r="G255" i="1" a="1"/>
  <c r="G255" i="1" l="1"/>
  <c r="F256" i="1"/>
  <c r="H255" i="1"/>
  <c r="G256" i="1" a="1"/>
  <c r="G256" i="1" l="1"/>
  <c r="F257" i="1"/>
  <c r="H256" i="1"/>
  <c r="G257" i="1" a="1"/>
  <c r="G257" i="1" l="1"/>
  <c r="F258" i="1"/>
  <c r="H257" i="1"/>
  <c r="G258" i="1" a="1"/>
  <c r="G258" i="1" l="1"/>
  <c r="F259" i="1"/>
  <c r="H258" i="1"/>
  <c r="G259" i="1" a="1"/>
  <c r="G259" i="1" l="1"/>
  <c r="F260" i="1"/>
  <c r="H259" i="1"/>
  <c r="G260" i="1" a="1"/>
  <c r="G260" i="1" l="1"/>
  <c r="F261" i="1"/>
  <c r="G261" i="1" a="1"/>
  <c r="H260" i="1"/>
  <c r="G261" i="1" l="1"/>
  <c r="F262" i="1"/>
  <c r="G262" i="1" a="1"/>
  <c r="H261" i="1"/>
  <c r="G262" i="1" l="1"/>
  <c r="F263" i="1"/>
  <c r="H262" i="1"/>
  <c r="G263" i="1" a="1"/>
  <c r="G263" i="1" l="1"/>
  <c r="F264" i="1"/>
  <c r="H263" i="1"/>
  <c r="G264" i="1" a="1"/>
  <c r="G264" i="1" l="1"/>
  <c r="F265" i="1"/>
  <c r="H264" i="1"/>
  <c r="G265" i="1" a="1"/>
  <c r="G265" i="1" l="1"/>
  <c r="F266" i="1"/>
  <c r="H265" i="1"/>
  <c r="G266" i="1" a="1"/>
  <c r="G266" i="1" l="1"/>
  <c r="F267" i="1"/>
  <c r="H266" i="1"/>
  <c r="G267" i="1" a="1"/>
  <c r="G267" i="1" l="1"/>
  <c r="F268" i="1"/>
  <c r="H267" i="1"/>
  <c r="G268" i="1" a="1"/>
  <c r="G268" i="1" l="1"/>
  <c r="F269" i="1"/>
  <c r="H268" i="1"/>
  <c r="G269" i="1" a="1"/>
  <c r="G269" i="1" l="1"/>
  <c r="F270" i="1"/>
  <c r="H269" i="1"/>
  <c r="G270" i="1" a="1"/>
  <c r="G270" i="1" l="1"/>
  <c r="F271" i="1"/>
  <c r="H270" i="1"/>
  <c r="G271" i="1" a="1"/>
  <c r="G271" i="1" l="1"/>
  <c r="F272" i="1"/>
  <c r="H271" i="1"/>
  <c r="G272" i="1" a="1"/>
  <c r="G272" i="1" l="1"/>
  <c r="F273" i="1"/>
  <c r="H272" i="1"/>
  <c r="G273" i="1" a="1"/>
  <c r="G273" i="1" l="1"/>
  <c r="F274" i="1"/>
  <c r="G274" i="1" a="1"/>
  <c r="H273" i="1"/>
  <c r="G274" i="1" l="1"/>
  <c r="F275" i="1"/>
  <c r="G275" i="1" a="1"/>
  <c r="H274" i="1"/>
  <c r="G275" i="1" l="1"/>
  <c r="F276" i="1"/>
  <c r="G276" i="1" a="1"/>
  <c r="H275" i="1"/>
  <c r="G276" i="1" l="1"/>
  <c r="F277" i="1"/>
  <c r="H276" i="1"/>
  <c r="G277" i="1" a="1"/>
  <c r="G277" i="1" l="1"/>
  <c r="F278" i="1"/>
  <c r="H277" i="1"/>
  <c r="G278" i="1" a="1"/>
  <c r="G278" i="1" l="1"/>
  <c r="F279" i="1"/>
  <c r="H278" i="1"/>
  <c r="G279" i="1" a="1"/>
  <c r="G279" i="1" l="1"/>
  <c r="F280" i="1"/>
  <c r="H279" i="1"/>
  <c r="G280" i="1" a="1"/>
  <c r="G280" i="1" l="1"/>
  <c r="F281" i="1"/>
  <c r="H280" i="1"/>
  <c r="G281" i="1" a="1"/>
  <c r="G281" i="1" l="1"/>
  <c r="F282" i="1"/>
  <c r="H281" i="1"/>
  <c r="G282" i="1" a="1"/>
  <c r="G282" i="1" l="1"/>
  <c r="F283" i="1"/>
  <c r="H282" i="1"/>
  <c r="G283" i="1" a="1"/>
  <c r="G283" i="1" l="1"/>
  <c r="F284" i="1"/>
  <c r="H283" i="1"/>
  <c r="G284" i="1" a="1"/>
  <c r="G284" i="1" l="1"/>
  <c r="F285" i="1"/>
  <c r="H284" i="1"/>
  <c r="G285" i="1" a="1"/>
  <c r="G285" i="1" l="1"/>
  <c r="F286" i="1"/>
  <c r="H285" i="1"/>
  <c r="G286" i="1" a="1"/>
  <c r="G286" i="1" l="1"/>
  <c r="F287" i="1"/>
  <c r="H286" i="1"/>
  <c r="G287" i="1" a="1"/>
  <c r="G287" i="1" l="1"/>
  <c r="F288" i="1"/>
  <c r="H287" i="1"/>
  <c r="G288" i="1" a="1"/>
  <c r="G288" i="1" l="1"/>
  <c r="F289" i="1"/>
  <c r="H288" i="1"/>
  <c r="G289" i="1" a="1"/>
  <c r="G289" i="1" l="1"/>
  <c r="F290" i="1"/>
  <c r="G290" i="1" a="1"/>
  <c r="H289" i="1"/>
  <c r="G290" i="1" l="1"/>
  <c r="F291" i="1"/>
  <c r="H290" i="1"/>
  <c r="G291" i="1" a="1"/>
  <c r="G291" i="1" l="1"/>
  <c r="F292" i="1"/>
  <c r="H291" i="1"/>
  <c r="G292" i="1" a="1"/>
  <c r="G292" i="1" l="1"/>
  <c r="F293" i="1"/>
  <c r="H292" i="1"/>
  <c r="G293" i="1" a="1"/>
  <c r="G293" i="1" l="1"/>
  <c r="F294" i="1"/>
  <c r="H293" i="1"/>
  <c r="G294" i="1" a="1"/>
  <c r="G294" i="1" l="1"/>
  <c r="F295" i="1"/>
  <c r="H294" i="1"/>
  <c r="G295" i="1" a="1"/>
  <c r="G295" i="1" l="1"/>
  <c r="F296" i="1"/>
  <c r="H295" i="1"/>
  <c r="G296" i="1" a="1"/>
  <c r="G296" i="1" l="1"/>
  <c r="F297" i="1"/>
  <c r="H296" i="1"/>
  <c r="G297" i="1" a="1"/>
  <c r="G297" i="1" l="1"/>
  <c r="F298" i="1"/>
  <c r="H297" i="1"/>
  <c r="G298" i="1" a="1"/>
  <c r="G298" i="1" l="1"/>
  <c r="F299" i="1"/>
  <c r="H298" i="1"/>
  <c r="G299" i="1" a="1"/>
  <c r="G299" i="1" l="1"/>
  <c r="F300" i="1"/>
  <c r="G300" i="1" a="1"/>
  <c r="H299" i="1"/>
  <c r="G300" i="1" l="1"/>
  <c r="F301" i="1"/>
  <c r="G301" i="1" a="1"/>
  <c r="H300" i="1"/>
  <c r="G301" i="1" l="1"/>
  <c r="F302" i="1"/>
  <c r="H301" i="1"/>
  <c r="G302" i="1" a="1"/>
  <c r="G302" i="1" l="1"/>
  <c r="F303" i="1"/>
  <c r="H302" i="1"/>
  <c r="G303" i="1" a="1"/>
  <c r="G303" i="1" l="1"/>
  <c r="F304" i="1"/>
  <c r="H303" i="1"/>
  <c r="G304" i="1" a="1"/>
  <c r="G304" i="1" l="1"/>
  <c r="F305" i="1"/>
  <c r="H304" i="1"/>
  <c r="G305" i="1" a="1"/>
  <c r="G305" i="1" l="1"/>
  <c r="F306" i="1"/>
  <c r="H305" i="1"/>
  <c r="G306" i="1" a="1"/>
  <c r="G306" i="1" l="1"/>
  <c r="F307" i="1"/>
  <c r="H306" i="1"/>
  <c r="G307" i="1" a="1"/>
  <c r="G307" i="1" l="1"/>
  <c r="F308" i="1"/>
  <c r="H307" i="1"/>
  <c r="G308" i="1" a="1"/>
  <c r="G308" i="1" l="1"/>
  <c r="F309" i="1"/>
  <c r="H308" i="1"/>
  <c r="G309" i="1" a="1"/>
  <c r="G309" i="1" l="1"/>
  <c r="F310" i="1"/>
  <c r="H309" i="1"/>
  <c r="G310" i="1" a="1"/>
  <c r="G310" i="1" l="1"/>
  <c r="F311" i="1"/>
  <c r="H310" i="1"/>
  <c r="G311" i="1" a="1"/>
  <c r="G311" i="1" l="1"/>
  <c r="F312" i="1"/>
  <c r="H311" i="1"/>
  <c r="G312" i="1" a="1"/>
  <c r="G312" i="1" l="1"/>
  <c r="F313" i="1"/>
  <c r="H312" i="1"/>
  <c r="G313" i="1" a="1"/>
  <c r="G313" i="1" l="1"/>
  <c r="F314" i="1"/>
  <c r="H313" i="1"/>
  <c r="G314" i="1" a="1"/>
  <c r="G314" i="1" l="1"/>
  <c r="F315" i="1"/>
  <c r="H314" i="1"/>
  <c r="G315" i="1" a="1"/>
  <c r="G315" i="1" l="1"/>
  <c r="F316" i="1"/>
  <c r="H315" i="1"/>
  <c r="G316" i="1" a="1"/>
  <c r="G316" i="1" l="1"/>
  <c r="F317" i="1"/>
  <c r="H316" i="1"/>
  <c r="G317" i="1" a="1"/>
  <c r="G317" i="1" l="1"/>
  <c r="F318" i="1"/>
  <c r="H317" i="1"/>
  <c r="G318" i="1" a="1"/>
  <c r="G318" i="1" l="1"/>
  <c r="F319" i="1"/>
  <c r="H318" i="1"/>
  <c r="G319" i="1" a="1"/>
  <c r="G319" i="1" l="1"/>
  <c r="F320" i="1"/>
  <c r="H319" i="1"/>
  <c r="G320" i="1" a="1"/>
  <c r="G320" i="1" l="1"/>
  <c r="F321" i="1"/>
  <c r="H320" i="1"/>
  <c r="G321" i="1" a="1"/>
  <c r="G321" i="1" l="1"/>
  <c r="F322" i="1"/>
  <c r="H321" i="1"/>
  <c r="G322" i="1" a="1"/>
  <c r="G322" i="1" l="1"/>
  <c r="F323" i="1"/>
  <c r="H322" i="1"/>
  <c r="G323" i="1" a="1"/>
  <c r="G323" i="1" l="1"/>
  <c r="F324" i="1"/>
  <c r="H323" i="1"/>
  <c r="G324" i="1" a="1"/>
  <c r="G324" i="1" l="1"/>
  <c r="F325" i="1"/>
  <c r="G325" i="1" a="1"/>
  <c r="H324" i="1"/>
  <c r="G325" i="1" l="1"/>
  <c r="F326" i="1"/>
  <c r="H325" i="1"/>
  <c r="G326" i="1" a="1"/>
  <c r="G326" i="1" l="1"/>
  <c r="F327" i="1"/>
  <c r="H326" i="1"/>
  <c r="G327" i="1" a="1"/>
  <c r="G327" i="1" l="1"/>
  <c r="F328" i="1"/>
  <c r="H327" i="1"/>
  <c r="G328" i="1" a="1"/>
  <c r="G328" i="1" l="1"/>
  <c r="F329" i="1"/>
  <c r="H328" i="1"/>
  <c r="G329" i="1" a="1"/>
  <c r="G329" i="1" l="1"/>
  <c r="F330" i="1"/>
  <c r="H329" i="1"/>
  <c r="G330" i="1" a="1"/>
  <c r="G330" i="1" l="1"/>
  <c r="F331" i="1"/>
  <c r="H330" i="1"/>
  <c r="G331" i="1" a="1"/>
  <c r="G331" i="1" l="1"/>
  <c r="F332" i="1"/>
  <c r="H331" i="1"/>
  <c r="G332" i="1" a="1"/>
  <c r="G332" i="1" l="1"/>
  <c r="F333" i="1"/>
  <c r="H332" i="1"/>
  <c r="G333" i="1" a="1"/>
  <c r="G333" i="1" l="1"/>
  <c r="F334" i="1"/>
  <c r="H333" i="1"/>
  <c r="G334" i="1" a="1"/>
  <c r="G334" i="1" l="1"/>
  <c r="F335" i="1"/>
  <c r="H334" i="1"/>
  <c r="G335" i="1" a="1"/>
  <c r="G335" i="1" l="1"/>
  <c r="F336" i="1"/>
  <c r="H335" i="1"/>
  <c r="G336" i="1" a="1"/>
  <c r="G336" i="1" l="1"/>
  <c r="F337" i="1"/>
  <c r="H336" i="1"/>
  <c r="G337" i="1" a="1"/>
  <c r="G337" i="1" l="1"/>
  <c r="F338" i="1"/>
  <c r="G338" i="1" a="1"/>
  <c r="H337" i="1"/>
  <c r="G338" i="1" l="1"/>
  <c r="F339" i="1"/>
  <c r="G339" i="1" a="1"/>
  <c r="H338" i="1"/>
  <c r="G339" i="1" l="1"/>
  <c r="F340" i="1"/>
  <c r="H339" i="1"/>
  <c r="G340" i="1" a="1"/>
  <c r="G340" i="1" l="1"/>
  <c r="F341" i="1"/>
  <c r="H340" i="1"/>
  <c r="G341" i="1" a="1"/>
  <c r="G341" i="1" l="1"/>
  <c r="F342" i="1"/>
  <c r="G342" i="1" a="1"/>
  <c r="H341" i="1"/>
  <c r="G342" i="1" l="1"/>
  <c r="F343" i="1"/>
  <c r="G343" i="1" a="1"/>
  <c r="H342" i="1"/>
  <c r="G343" i="1" l="1"/>
  <c r="F344" i="1"/>
  <c r="H343" i="1"/>
  <c r="G344" i="1" a="1"/>
  <c r="G344" i="1" l="1"/>
  <c r="F345" i="1"/>
  <c r="H344" i="1"/>
  <c r="G345" i="1" a="1"/>
  <c r="G345" i="1" l="1"/>
  <c r="F346" i="1"/>
  <c r="H345" i="1"/>
  <c r="G346" i="1" a="1"/>
  <c r="G346" i="1" l="1"/>
  <c r="F347" i="1"/>
  <c r="H346" i="1"/>
  <c r="G347" i="1" a="1"/>
  <c r="G347" i="1" l="1"/>
  <c r="F348" i="1"/>
  <c r="H347" i="1"/>
  <c r="G348" i="1" a="1"/>
  <c r="G348" i="1" l="1"/>
  <c r="F349" i="1"/>
  <c r="G349" i="1" a="1"/>
  <c r="H348" i="1"/>
  <c r="G349" i="1" l="1"/>
  <c r="F350" i="1"/>
  <c r="H349" i="1"/>
  <c r="G350" i="1" a="1"/>
  <c r="G350" i="1" l="1"/>
  <c r="F351" i="1"/>
  <c r="G351" i="1" a="1"/>
  <c r="H350" i="1"/>
  <c r="G351" i="1" l="1"/>
  <c r="F352" i="1"/>
  <c r="G352" i="1" a="1"/>
  <c r="H351" i="1"/>
  <c r="G352" i="1" l="1"/>
  <c r="F353" i="1"/>
  <c r="G353" i="1" a="1"/>
  <c r="H352" i="1"/>
  <c r="G353" i="1" l="1"/>
  <c r="F354" i="1"/>
  <c r="H353" i="1"/>
  <c r="G354" i="1" a="1"/>
  <c r="G354" i="1" l="1"/>
  <c r="F355" i="1"/>
  <c r="H354" i="1"/>
  <c r="G355" i="1" a="1"/>
  <c r="G355" i="1" l="1"/>
  <c r="F356" i="1"/>
  <c r="H355" i="1"/>
  <c r="G356" i="1" a="1"/>
  <c r="G356" i="1" l="1"/>
  <c r="F357" i="1"/>
  <c r="H356" i="1"/>
  <c r="G357" i="1" a="1"/>
  <c r="G357" i="1" l="1"/>
  <c r="F358" i="1"/>
  <c r="H357" i="1"/>
  <c r="G358" i="1" a="1"/>
  <c r="G358" i="1" l="1"/>
  <c r="F359" i="1"/>
  <c r="H358" i="1"/>
  <c r="G359" i="1" a="1"/>
  <c r="G359" i="1" l="1"/>
  <c r="F360" i="1"/>
  <c r="G360" i="1" a="1"/>
  <c r="H359" i="1"/>
  <c r="G360" i="1" l="1"/>
  <c r="F361" i="1"/>
  <c r="H360" i="1"/>
  <c r="G361" i="1" a="1"/>
  <c r="G361" i="1" l="1"/>
  <c r="F362" i="1"/>
  <c r="H361" i="1"/>
  <c r="G362" i="1" a="1"/>
  <c r="G362" i="1" l="1"/>
  <c r="F363" i="1"/>
  <c r="H362" i="1"/>
  <c r="G363" i="1" a="1"/>
  <c r="G363" i="1" l="1"/>
  <c r="F364" i="1"/>
  <c r="H363" i="1"/>
  <c r="G364" i="1" a="1"/>
  <c r="G364" i="1" l="1"/>
  <c r="F365" i="1"/>
  <c r="H364" i="1"/>
  <c r="G365" i="1" a="1"/>
  <c r="G365" i="1" l="1"/>
  <c r="F366" i="1"/>
  <c r="H365" i="1"/>
  <c r="G366" i="1" a="1"/>
  <c r="G366" i="1" l="1"/>
  <c r="F367" i="1"/>
  <c r="H366" i="1"/>
  <c r="G367" i="1" a="1"/>
  <c r="G367" i="1" l="1"/>
  <c r="F368" i="1"/>
  <c r="H367" i="1"/>
  <c r="G368" i="1" a="1"/>
  <c r="G368" i="1" l="1"/>
  <c r="F369" i="1"/>
  <c r="H368" i="1"/>
  <c r="G369" i="1" a="1"/>
  <c r="G369" i="1" l="1"/>
  <c r="F370" i="1"/>
  <c r="H369" i="1"/>
  <c r="G370" i="1" a="1"/>
  <c r="G370" i="1" l="1"/>
  <c r="F371" i="1"/>
  <c r="G371" i="1" a="1"/>
  <c r="H370" i="1"/>
  <c r="G371" i="1" l="1"/>
  <c r="F372" i="1"/>
  <c r="G372" i="1" a="1"/>
  <c r="H371" i="1"/>
  <c r="G372" i="1" l="1"/>
  <c r="F373" i="1"/>
  <c r="H372" i="1"/>
  <c r="G373" i="1" a="1"/>
  <c r="G373" i="1" l="1"/>
  <c r="F374" i="1"/>
  <c r="G374" i="1" a="1"/>
  <c r="H373" i="1"/>
  <c r="G374" i="1" l="1"/>
  <c r="H374" i="1"/>
  <c r="F375" i="1"/>
  <c r="G375" i="1" a="1"/>
  <c r="G375" i="1" l="1"/>
  <c r="H37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author>
  </authors>
  <commentList>
    <comment ref="G10" authorId="0" shapeId="0" xr:uid="{283AB64A-4606-4F3E-A25B-EBAE680C681D}">
      <text>
        <r>
          <rPr>
            <b/>
            <sz val="9"/>
            <color indexed="81"/>
            <rFont val="Tahoma"/>
            <family val="2"/>
          </rPr>
          <t>Jeff:</t>
        </r>
        <r>
          <rPr>
            <sz val="9"/>
            <color indexed="81"/>
            <rFont val="Tahoma"/>
            <family val="2"/>
          </rPr>
          <t xml:space="preserve">
This column contains conditional formatting that highlights cells whose values do not match the values in the cells to their left</t>
        </r>
      </text>
    </comment>
    <comment ref="L10" authorId="0" shapeId="0" xr:uid="{00000000-0006-0000-0100-000001000000}">
      <text>
        <r>
          <rPr>
            <b/>
            <sz val="9"/>
            <color indexed="81"/>
            <rFont val="Tahoma"/>
            <family val="2"/>
          </rPr>
          <t>Jeff:</t>
        </r>
        <r>
          <rPr>
            <sz val="9"/>
            <color indexed="81"/>
            <rFont val="Tahoma"/>
            <family val="2"/>
          </rPr>
          <t xml:space="preserve">
This column contains conditional formatting that highlights cells whose values do not match the values in the cells to their left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author>
  </authors>
  <commentList>
    <comment ref="A1" authorId="0" shapeId="0" xr:uid="{0DDC5D0D-A8C0-45D0-8821-66780EA02F96}">
      <text>
        <r>
          <rPr>
            <b/>
            <sz val="9"/>
            <color indexed="81"/>
            <rFont val="Tahoma"/>
            <family val="2"/>
          </rPr>
          <t>Jeff:</t>
        </r>
        <r>
          <rPr>
            <sz val="9"/>
            <color indexed="81"/>
            <rFont val="Tahoma"/>
            <family val="2"/>
          </rPr>
          <t xml:space="preserve">
DO NOT EDIT THIS CELL. This cell identifies the sheet as a holiday sheet.</t>
        </r>
      </text>
    </comment>
    <comment ref="C2" authorId="0" shapeId="0" xr:uid="{B00A3369-A674-4169-99A9-21DE6F4583C5}">
      <text>
        <r>
          <rPr>
            <b/>
            <sz val="9"/>
            <color indexed="81"/>
            <rFont val="Tahoma"/>
            <family val="2"/>
          </rPr>
          <t xml:space="preserve">Jeff:
</t>
        </r>
        <r>
          <rPr>
            <sz val="9"/>
            <color indexed="81"/>
            <rFont val="Tahoma"/>
            <family val="2"/>
          </rPr>
          <t>Holiday definitions can be loaded from a separate CSV file by clicking the "Load Holiday Definitions" button to the right, or entered manually in the table below.
A holiday date is defined as the Nth instance of a particular day unit (eg, "Day", or "Monday"), relative to a month or other date.  If the holiday can fall on a weekend, the definition should also include weekend logic which tells us if the holiday will be observed on the following Monday, the preceding Friday, or whichever weekday is closest to the holiday.
For example, Christmas Day would be defined by:
Instance = 25
Unit = Day
OfBeforeAfter = Of
Month = December
WeekendLogic = Closest
American Thanksgiving would be defined by:
Instance = 4
Unit = Thursday
OfBeforeAfter = Of
Month = November
Good Friday would be defined by either:
Instance = 2
Unit = Day
OfBeforeAfter = Before
Day = Easter Sunday
WeekendLogic = Closest
or
Unit = Friday
OfBeforeAfter = Before
Day = Easter Sunday
WeekendLogic = Closest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Jeff</author>
  </authors>
  <commentList>
    <comment ref="A1" authorId="0" shapeId="0" xr:uid="{00000000-0006-0000-0200-000001000000}">
      <text>
        <r>
          <rPr>
            <b/>
            <sz val="9"/>
            <color indexed="81"/>
            <rFont val="Tahoma"/>
            <family val="2"/>
          </rPr>
          <t>Jeff:</t>
        </r>
        <r>
          <rPr>
            <sz val="9"/>
            <color indexed="81"/>
            <rFont val="Tahoma"/>
            <family val="2"/>
          </rPr>
          <t xml:space="preserve">
DO NOT EDIT THIS CELL. This cell identifies the sheet as a holiday sheet.</t>
        </r>
      </text>
    </comment>
    <comment ref="C2" authorId="0" shapeId="0" xr:uid="{00000000-0006-0000-0200-000002000000}">
      <text>
        <r>
          <rPr>
            <b/>
            <sz val="9"/>
            <color indexed="81"/>
            <rFont val="Tahoma"/>
            <family val="2"/>
          </rPr>
          <t xml:space="preserve">Jeff:
</t>
        </r>
        <r>
          <rPr>
            <sz val="9"/>
            <color indexed="81"/>
            <rFont val="Tahoma"/>
            <family val="2"/>
          </rPr>
          <t>Holiday definitions can be loaded from a separate CSV file by clicking the "Load Holiday Definitions" button to the right, or entered manually in the table below.
A holiday date is defined as the Nth instance of a particular day entity (eg, "Day", or "Monday"), relative to a month or other date.  If the holiday can fall on a weekend, the definition should also include weekend logic which tells us if the holiday will be observed on the following Monday, the preceding Friday, or whichever weekday is closest to the holiday.
For example, Christmas would be defined by:
Instance = 25
InstanceOf = Day
RelativeTo = December
WeekendLogic = Closest
Thanksgiving would be defined by:
Instance = 4
InstanceOf = Thursday
RelativeTo = November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<sst xmlns="http://schemas.openxmlformats.org/spreadsheetml/2006/main" count="426" uniqueCount="122">
  <si>
    <t>Name</t>
  </si>
  <si>
    <t>Business Day Conventions</t>
  </si>
  <si>
    <t>Following</t>
  </si>
  <si>
    <t>Symbol</t>
  </si>
  <si>
    <t>F</t>
  </si>
  <si>
    <t>ModifiedFollowing</t>
  </si>
  <si>
    <t>MF</t>
  </si>
  <si>
    <t>Preceding</t>
  </si>
  <si>
    <t>P</t>
  </si>
  <si>
    <t>Holiday Definitions</t>
  </si>
  <si>
    <t>Holiday</t>
  </si>
  <si>
    <t>WeekendLogic</t>
  </si>
  <si>
    <t>Calculate holidays through year:</t>
  </si>
  <si>
    <t>Date</t>
  </si>
  <si>
    <t>Reference Date</t>
  </si>
  <si>
    <t>Term</t>
  </si>
  <si>
    <t>Calendar Date</t>
  </si>
  <si>
    <t>1D</t>
  </si>
  <si>
    <t>2D</t>
  </si>
  <si>
    <t>1W</t>
  </si>
  <si>
    <t>Good Business Date</t>
  </si>
  <si>
    <t>2W</t>
  </si>
  <si>
    <t>3D</t>
  </si>
  <si>
    <t>4D</t>
  </si>
  <si>
    <t>5D</t>
  </si>
  <si>
    <t>1M</t>
  </si>
  <si>
    <t>45D</t>
  </si>
  <si>
    <t>2M</t>
  </si>
  <si>
    <t>3M</t>
  </si>
  <si>
    <t>4M</t>
  </si>
  <si>
    <t>5M</t>
  </si>
  <si>
    <t>6M</t>
  </si>
  <si>
    <t>7M</t>
  </si>
  <si>
    <t>8M</t>
  </si>
  <si>
    <t>9M</t>
  </si>
  <si>
    <t>10M</t>
  </si>
  <si>
    <t>11M</t>
  </si>
  <si>
    <t>1Y</t>
  </si>
  <si>
    <t>18M</t>
  </si>
  <si>
    <t>2Y</t>
  </si>
  <si>
    <t>3Y</t>
  </si>
  <si>
    <t>4Y</t>
  </si>
  <si>
    <t>5Y</t>
  </si>
  <si>
    <t>6Y</t>
  </si>
  <si>
    <t>7Y</t>
  </si>
  <si>
    <t>8Y</t>
  </si>
  <si>
    <t>9Y</t>
  </si>
  <si>
    <t>10Y</t>
  </si>
  <si>
    <t>11Y</t>
  </si>
  <si>
    <t>12Y</t>
  </si>
  <si>
    <t>13Y</t>
  </si>
  <si>
    <t>14Y</t>
  </si>
  <si>
    <t>15Y</t>
  </si>
  <si>
    <t>16Y</t>
  </si>
  <si>
    <t>17Y</t>
  </si>
  <si>
    <t>18Y</t>
  </si>
  <si>
    <t>19Y</t>
  </si>
  <si>
    <t>20Y</t>
  </si>
  <si>
    <t>Business Day Convention</t>
  </si>
  <si>
    <t>Holiday Sheet</t>
  </si>
  <si>
    <t>Calendar Date Is</t>
  </si>
  <si>
    <t>ModifiedPreceding</t>
  </si>
  <si>
    <t>MP</t>
  </si>
  <si>
    <t>About:</t>
  </si>
  <si>
    <t>HOLIDAY CALCULATOR</t>
  </si>
  <si>
    <t>1.</t>
  </si>
  <si>
    <t>2.</t>
  </si>
  <si>
    <t>Instance</t>
  </si>
  <si>
    <t>Holiday Schedule</t>
  </si>
  <si>
    <t>Unit</t>
  </si>
  <si>
    <t>OfBeforeAfter</t>
  </si>
  <si>
    <t>Day</t>
  </si>
  <si>
    <t>Month</t>
  </si>
  <si>
    <t>Config</t>
  </si>
  <si>
    <t>Holiday Schedules</t>
  </si>
  <si>
    <t>Holiday Schedule Sheets</t>
  </si>
  <si>
    <r>
      <t xml:space="preserve">Calculate the future schedule of your defined holidays by clicking the sheet's </t>
    </r>
    <r>
      <rPr>
        <i/>
        <sz val="11"/>
        <color theme="1"/>
        <rFont val="Calibri"/>
        <family val="2"/>
        <scheme val="minor"/>
      </rPr>
      <t>Calculate Holidays</t>
    </r>
    <r>
      <rPr>
        <sz val="11"/>
        <color theme="1"/>
        <rFont val="Calibri"/>
        <family val="2"/>
        <scheme val="minor"/>
      </rPr>
      <t xml:space="preserve"> button.</t>
    </r>
  </si>
  <si>
    <r>
      <t xml:space="preserve">Define a list of holidays in the sheet's "Holiday Definitions" table, or import a saved holiday definition list from a csv file by clicking the sheet's </t>
    </r>
    <r>
      <rPr>
        <i/>
        <sz val="11"/>
        <color theme="1"/>
        <rFont val="Calibri"/>
        <family val="2"/>
        <scheme val="minor"/>
      </rPr>
      <t>Load Holiday Definitions</t>
    </r>
    <r>
      <rPr>
        <sz val="11"/>
        <color theme="1"/>
        <rFont val="Calibri"/>
        <family val="2"/>
        <scheme val="minor"/>
      </rPr>
      <t xml:space="preserve"> button.</t>
    </r>
  </si>
  <si>
    <t>US</t>
  </si>
  <si>
    <t>New Year's Day</t>
  </si>
  <si>
    <t>Of</t>
  </si>
  <si>
    <t>January</t>
  </si>
  <si>
    <t>Monday</t>
  </si>
  <si>
    <t>Martin Luther King Jr. Day</t>
  </si>
  <si>
    <t>Presidents Day</t>
  </si>
  <si>
    <t>February</t>
  </si>
  <si>
    <t>Good Friday</t>
  </si>
  <si>
    <t>Before</t>
  </si>
  <si>
    <t>Easter Sunday</t>
  </si>
  <si>
    <t>Memorial Day</t>
  </si>
  <si>
    <t>Last</t>
  </si>
  <si>
    <t>May</t>
  </si>
  <si>
    <t>Juneteenth</t>
  </si>
  <si>
    <t>June</t>
  </si>
  <si>
    <t>Closest</t>
  </si>
  <si>
    <t>U.S. Independence Day</t>
  </si>
  <si>
    <t>July</t>
  </si>
  <si>
    <t>Labor Day</t>
  </si>
  <si>
    <t>September</t>
  </si>
  <si>
    <t>Columbus Day</t>
  </si>
  <si>
    <t>October</t>
  </si>
  <si>
    <t>Veterans Day</t>
  </si>
  <si>
    <t>November</t>
  </si>
  <si>
    <t>Thanksgiving Day</t>
  </si>
  <si>
    <t>Thursday</t>
  </si>
  <si>
    <t>Christmas Day</t>
  </si>
  <si>
    <t>December</t>
  </si>
  <si>
    <t>Usage:</t>
  </si>
  <si>
    <t>i.</t>
  </si>
  <si>
    <t>ii.</t>
  </si>
  <si>
    <t>Friday</t>
  </si>
  <si>
    <t>Year</t>
  </si>
  <si>
    <t>For a transaction that settles on T+1, when T is a Friday, what is the business date of T+1?</t>
  </si>
  <si>
    <t>The BusinessDayCalculator enables a user to determine the business dates that calendar dates should be modified to, given a business day convention and holiday schedule. Examples of practical applications for the tool might include:</t>
  </si>
  <si>
    <t>Whenever the DateOfEasterSunday() function is called, it will look here first to find the date for the given year.</t>
  </si>
  <si>
    <t>If the year is not found in the table, the function will make an HTTP call to wheniseastersunday.com to find the date, and then add it here for future reference.</t>
  </si>
  <si>
    <r>
      <t xml:space="preserve">Create Holiday schedules by clicking the </t>
    </r>
    <r>
      <rPr>
        <i/>
        <sz val="11"/>
        <color theme="1"/>
        <rFont val="Calibri"/>
        <family val="2"/>
        <scheme val="minor"/>
      </rPr>
      <t>Add Holiday Schedule</t>
    </r>
    <r>
      <rPr>
        <sz val="11"/>
        <color theme="1"/>
        <rFont val="Calibri"/>
        <family val="2"/>
        <scheme val="minor"/>
      </rPr>
      <t xml:space="preserve"> button on the </t>
    </r>
    <r>
      <rPr>
        <b/>
        <sz val="11"/>
        <color theme="1"/>
        <rFont val="Calibri"/>
        <family val="2"/>
        <scheme val="minor"/>
      </rPr>
      <t>Main</t>
    </r>
    <r>
      <rPr>
        <sz val="11"/>
        <color theme="1"/>
        <rFont val="Calibri"/>
        <family val="2"/>
        <scheme val="minor"/>
      </rPr>
      <t xml:space="preserve"> sheet.  This will add a new custom worksheet where you can…</t>
    </r>
  </si>
  <si>
    <t>If a 10-year bond is issued on September 25th and makes coupon payments every 3 months, what would the coupon schedule look like when taking into consideration the fact that holidays like Christmas Day, or weekend dates, will periodically fall along the every-three-month calendar schedule over the 10 year time frame?</t>
  </si>
  <si>
    <t>Business Date Calculation Examples</t>
  </si>
  <si>
    <t>Calendar Year Business Date Calculations Example</t>
  </si>
  <si>
    <t>Relative Business Date Calculations Example</t>
  </si>
  <si>
    <r>
      <t xml:space="preserve">See the </t>
    </r>
    <r>
      <rPr>
        <b/>
        <sz val="11"/>
        <color theme="1"/>
        <rFont val="Calibri"/>
        <family val="2"/>
        <scheme val="minor"/>
      </rPr>
      <t xml:space="preserve">Calendar Year Business Date Calculations Example </t>
    </r>
    <r>
      <rPr>
        <sz val="11"/>
        <color theme="1"/>
        <rFont val="Calibri"/>
        <family val="2"/>
        <scheme val="minor"/>
      </rPr>
      <t xml:space="preserve">and </t>
    </r>
    <r>
      <rPr>
        <b/>
        <sz val="11"/>
        <color theme="1"/>
        <rFont val="Calibri"/>
        <family val="2"/>
        <scheme val="minor"/>
      </rPr>
      <t>Relative Business Date Calculations Example</t>
    </r>
    <r>
      <rPr>
        <sz val="11"/>
        <color theme="1"/>
        <rFont val="Calibri"/>
        <family val="2"/>
        <scheme val="minor"/>
      </rPr>
      <t xml:space="preserve"> sections of the </t>
    </r>
    <r>
      <rPr>
        <b/>
        <sz val="11"/>
        <color theme="1"/>
        <rFont val="Calibri"/>
        <family val="2"/>
        <scheme val="minor"/>
      </rPr>
      <t>Main</t>
    </r>
    <r>
      <rPr>
        <sz val="11"/>
        <color theme="1"/>
        <rFont val="Calibri"/>
        <family val="2"/>
        <scheme val="minor"/>
      </rPr>
      <t xml:space="preserve"> sheet for demonstrations of how to apply a holiday schedule to calculate business dates for given calendar dates.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</si>
</sst>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b/>
      <sz val="12"/>
      <color theme="1"/>
      <name val="Calibri"/>
      <family val="2"/>
      <scheme val="minor"/>
    </font>
    <font>
      <sz val="9"/>
      <color indexed="81"/>
      <name val="Tahoma"/>
      <family val="2"/>
    </font>
    <font>
      <b/>
      <sz val="9"/>
      <color indexed="81"/>
      <name val="Tahoma"/>
      <family val="2"/>
    </font>
    <font>
      <i/>
      <sz val="12"/>
      <color theme="1"/>
      <name val="Calibri"/>
      <family val="2"/>
      <scheme val="minor"/>
    </font>
    <font>
      <sz val="11"/>
      <color rgb="FFFF0000"/>
      <name val="Calibri"/>
      <family val="2"/>
      <scheme val="minor"/>
    </font>
    <font>
      <b/>
      <sz val="14"/>
      <color theme="0"/>
      <name val="Calibri"/>
      <family val="2"/>
      <scheme val="minor"/>
    </font>
    <font>
      <b/>
      <i/>
      <sz val="11"/>
      <color theme="1"/>
      <name val="Calibri"/>
      <family val="2"/>
      <scheme val="minor"/>
    </font>
  </fonts>
  <fills count="9">
    <fill>
      <patternFill patternType="none"/>
    </fill>
    <fill>
      <patternFill patternType="gray125"/>
    </fill>
    <fill>
      <patternFill patternType="solid">
        <fgColor rgb="FFFFFFCC"/>
        <bgColor indexed="64"/>
      </patternFill>
    </fill>
    <fill>
      <patternFill patternType="solid">
        <fgColor theme="4"/>
        <bgColor theme="4"/>
      </patternFill>
    </fill>
    <fill>
      <patternFill patternType="solid">
        <fgColor theme="8"/>
        <bgColor theme="8"/>
      </patternFill>
    </fill>
    <fill>
      <patternFill patternType="solid">
        <fgColor theme="4" tint="0.79998168889431442"/>
        <bgColor indexed="64"/>
      </patternFill>
    </fill>
    <fill>
      <patternFill patternType="solid">
        <fgColor theme="1"/>
        <bgColor indexed="64"/>
      </patternFill>
    </fill>
    <fill>
      <patternFill patternType="solid">
        <fgColor theme="0" tint="-0.249977111117893"/>
        <bgColor auto="1"/>
      </patternFill>
    </fill>
    <fill>
      <patternFill patternType="solid">
        <fgColor theme="3" tint="0.39997558519241921"/>
        <bgColor auto="1"/>
      </patternFill>
    </fill>
  </fills>
  <borders count="32">
    <border>
      <left/>
      <right/>
      <top/>
      <bottom/>
      <diagonal/>
    </border>
    <border>
      <left style="thin">
        <color indexed="64"/>
      </left>
      <right style="hair">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style="thin">
        <color auto="1"/>
      </bottom>
      <diagonal/>
    </border>
    <border>
      <left style="hair">
        <color auto="1"/>
      </left>
      <right style="medium">
        <color auto="1"/>
      </right>
      <top style="medium">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style="hair">
        <color auto="1"/>
      </left>
      <right/>
      <top style="hair">
        <color auto="1"/>
      </top>
      <bottom style="medium">
        <color auto="1"/>
      </bottom>
      <diagonal/>
    </border>
    <border>
      <left style="medium">
        <color auto="1"/>
      </left>
      <right style="hair">
        <color auto="1"/>
      </right>
      <top/>
      <bottom/>
      <diagonal/>
    </border>
    <border>
      <left style="hair">
        <color auto="1"/>
      </left>
      <right style="medium">
        <color auto="1"/>
      </right>
      <top/>
      <bottom/>
      <diagonal/>
    </border>
    <border>
      <left style="medium">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s>
  <cellStyleXfs count="1">
    <xf numFmtId="0" fontId="0" fillId="0" borderId="0"/>
  </cellStyleXfs>
  <cellXfs count="59">
    <xf numFmtId="0" fontId="0" fillId="0" borderId="0" xfId="0"/>
    <xf numFmtId="0" fontId="2" fillId="0" borderId="1" xfId="0" applyFont="1" applyBorder="1"/>
    <xf numFmtId="0" fontId="1" fillId="2" borderId="2" xfId="0" applyFont="1" applyFill="1" applyBorder="1"/>
    <xf numFmtId="0" fontId="3" fillId="3" borderId="0" xfId="0" applyFont="1" applyFill="1"/>
    <xf numFmtId="0" fontId="3" fillId="4" borderId="0" xfId="0" applyFont="1" applyFill="1"/>
    <xf numFmtId="0" fontId="4" fillId="0" borderId="0" xfId="0" applyFont="1"/>
    <xf numFmtId="0" fontId="0" fillId="0" borderId="4" xfId="0" applyBorder="1"/>
    <xf numFmtId="0" fontId="0" fillId="0" borderId="5" xfId="0" applyBorder="1"/>
    <xf numFmtId="0" fontId="0" fillId="0" borderId="7" xfId="0" applyBorder="1"/>
    <xf numFmtId="0" fontId="0" fillId="0" borderId="9" xfId="0" applyBorder="1"/>
    <xf numFmtId="0" fontId="0" fillId="0" borderId="10" xfId="0" applyBorder="1"/>
    <xf numFmtId="0" fontId="0" fillId="0" borderId="14" xfId="0" applyBorder="1" applyAlignment="1">
      <alignment horizontal="center"/>
    </xf>
    <xf numFmtId="14" fontId="0" fillId="0" borderId="15" xfId="0" applyNumberFormat="1" applyBorder="1" applyAlignment="1">
      <alignment horizontal="center"/>
    </xf>
    <xf numFmtId="0" fontId="0" fillId="0" borderId="17" xfId="0" applyBorder="1" applyAlignment="1">
      <alignment horizontal="center"/>
    </xf>
    <xf numFmtId="14" fontId="0" fillId="0" borderId="18" xfId="0" applyNumberFormat="1" applyBorder="1" applyAlignment="1">
      <alignment horizontal="center"/>
    </xf>
    <xf numFmtId="14" fontId="0" fillId="0" borderId="19" xfId="0" applyNumberFormat="1" applyBorder="1" applyAlignment="1">
      <alignment horizontal="center"/>
    </xf>
    <xf numFmtId="0" fontId="0" fillId="0" borderId="20" xfId="0" applyBorder="1" applyAlignment="1">
      <alignment horizontal="center"/>
    </xf>
    <xf numFmtId="0" fontId="1" fillId="5" borderId="11" xfId="0" applyFont="1" applyFill="1" applyBorder="1" applyAlignment="1">
      <alignment horizontal="center"/>
    </xf>
    <xf numFmtId="0" fontId="1" fillId="5" borderId="12" xfId="0" applyFont="1" applyFill="1" applyBorder="1" applyAlignment="1">
      <alignment horizontal="center"/>
    </xf>
    <xf numFmtId="0" fontId="1" fillId="5" borderId="13" xfId="0" applyFont="1" applyFill="1" applyBorder="1" applyAlignment="1">
      <alignment horizontal="center"/>
    </xf>
    <xf numFmtId="0" fontId="0" fillId="0" borderId="23" xfId="0" applyBorder="1"/>
    <xf numFmtId="0" fontId="0" fillId="0" borderId="3" xfId="0" applyBorder="1"/>
    <xf numFmtId="0" fontId="0" fillId="0" borderId="6" xfId="0" applyBorder="1"/>
    <xf numFmtId="0" fontId="0" fillId="0" borderId="8" xfId="0" applyBorder="1"/>
    <xf numFmtId="14" fontId="0" fillId="0" borderId="16" xfId="0" applyNumberFormat="1" applyBorder="1" applyAlignment="1">
      <alignment horizontal="center"/>
    </xf>
    <xf numFmtId="14" fontId="0" fillId="0" borderId="21" xfId="0" applyNumberFormat="1" applyBorder="1" applyAlignment="1">
      <alignment horizontal="center"/>
    </xf>
    <xf numFmtId="14" fontId="0" fillId="0" borderId="22" xfId="0" applyNumberFormat="1" applyBorder="1" applyAlignment="1">
      <alignment horizontal="center"/>
    </xf>
    <xf numFmtId="0" fontId="7" fillId="0" borderId="0" xfId="0" applyFont="1" applyAlignment="1">
      <alignment horizontal="center"/>
    </xf>
    <xf numFmtId="14" fontId="0" fillId="0" borderId="25" xfId="0" applyNumberFormat="1" applyBorder="1" applyAlignment="1">
      <alignment horizontal="center"/>
    </xf>
    <xf numFmtId="14" fontId="0" fillId="0" borderId="26" xfId="0" applyNumberFormat="1" applyBorder="1" applyAlignment="1">
      <alignment horizontal="center"/>
    </xf>
    <xf numFmtId="14" fontId="0" fillId="0" borderId="27" xfId="0" applyNumberFormat="1" applyBorder="1" applyAlignment="1">
      <alignment horizontal="center"/>
    </xf>
    <xf numFmtId="14" fontId="0" fillId="0" borderId="0" xfId="0" applyNumberFormat="1" applyAlignment="1">
      <alignment horizontal="center"/>
    </xf>
    <xf numFmtId="0" fontId="0" fillId="0" borderId="0" xfId="0" applyAlignment="1">
      <alignment horizontal="center"/>
    </xf>
    <xf numFmtId="0" fontId="0" fillId="0" borderId="0" xfId="0" applyAlignment="1">
      <alignment wrapText="1"/>
    </xf>
    <xf numFmtId="0" fontId="1" fillId="0" borderId="0" xfId="0" applyFont="1"/>
    <xf numFmtId="0" fontId="8" fillId="6" borderId="0" xfId="0" applyFont="1" applyFill="1"/>
    <xf numFmtId="0" fontId="0" fillId="0" borderId="0" xfId="0" quotePrefix="1" applyAlignment="1">
      <alignment horizontal="right" vertical="top"/>
    </xf>
    <xf numFmtId="0" fontId="0" fillId="0" borderId="0" xfId="0" applyAlignment="1">
      <alignment horizontal="right"/>
    </xf>
    <xf numFmtId="0" fontId="0" fillId="0" borderId="0" xfId="0" quotePrefix="1"/>
    <xf numFmtId="0" fontId="0" fillId="0" borderId="0" xfId="0" quotePrefix="1" applyAlignment="1">
      <alignment vertical="top"/>
    </xf>
    <xf numFmtId="14" fontId="0" fillId="0" borderId="0" xfId="0" applyNumberFormat="1"/>
    <xf numFmtId="0" fontId="1" fillId="0" borderId="0" xfId="0" applyFont="1" applyAlignment="1">
      <alignment horizontal="left"/>
    </xf>
    <xf numFmtId="0" fontId="0" fillId="0" borderId="0" xfId="0" applyAlignment="1">
      <alignment vertical="top"/>
    </xf>
    <xf numFmtId="0" fontId="10" fillId="0" borderId="0" xfId="0" applyFont="1"/>
    <xf numFmtId="0" fontId="0" fillId="0" borderId="0" xfId="0" applyAlignment="1">
      <alignment wrapText="1"/>
    </xf>
    <xf numFmtId="0" fontId="9" fillId="8" borderId="0" xfId="0" applyFont="1" applyFill="1"/>
    <xf numFmtId="0" fontId="9" fillId="7" borderId="0" xfId="0" applyFont="1" applyFill="1"/>
    <xf numFmtId="0" fontId="0" fillId="0" borderId="28" xfId="0" applyBorder="1"/>
    <xf numFmtId="0" fontId="0" fillId="2" borderId="29" xfId="0" applyFill="1" applyBorder="1" applyAlignment="1">
      <alignment horizontal="center"/>
    </xf>
    <xf numFmtId="0" fontId="0" fillId="0" borderId="30" xfId="0" applyBorder="1"/>
    <xf numFmtId="14" fontId="0" fillId="2" borderId="31" xfId="0" applyNumberFormat="1" applyFill="1" applyBorder="1" applyAlignment="1">
      <alignment horizontal="center"/>
    </xf>
    <xf numFmtId="0" fontId="0" fillId="2" borderId="24" xfId="0" applyFill="1" applyBorder="1" applyAlignment="1">
      <alignment horizontal="center"/>
    </xf>
    <xf numFmtId="0" fontId="0" fillId="2" borderId="31" xfId="0" applyNumberFormat="1" applyFill="1" applyBorder="1" applyAlignment="1">
      <alignment horizontal="center"/>
    </xf>
    <xf numFmtId="14" fontId="0" fillId="0" borderId="14" xfId="0" applyNumberFormat="1" applyBorder="1" applyAlignment="1">
      <alignment horizontal="center"/>
    </xf>
    <xf numFmtId="0" fontId="0" fillId="0" borderId="16" xfId="0" applyBorder="1" applyAlignment="1">
      <alignment horizontal="center"/>
    </xf>
    <xf numFmtId="14" fontId="0" fillId="0" borderId="17" xfId="0" applyNumberFormat="1" applyBorder="1" applyAlignment="1">
      <alignment horizontal="center"/>
    </xf>
    <xf numFmtId="0" fontId="0" fillId="0" borderId="19" xfId="0" applyBorder="1" applyAlignment="1">
      <alignment horizontal="center"/>
    </xf>
    <xf numFmtId="14" fontId="0" fillId="0" borderId="20" xfId="0" applyNumberFormat="1" applyBorder="1" applyAlignment="1">
      <alignment horizontal="center"/>
    </xf>
    <xf numFmtId="0" fontId="0" fillId="0" borderId="22" xfId="0" applyBorder="1" applyAlignment="1">
      <alignment horizontal="center"/>
    </xf>
  </cellXfs>
  <cellStyles count="1">
    <cellStyle name="Normal" xfId="0" builtinId="0"/>
  </cellStyles>
  <dxfs count="19">
    <dxf>
      <fill>
        <patternFill>
          <bgColor theme="9" tint="0.59996337778862885"/>
        </patternFill>
      </fill>
    </dxf>
    <dxf>
      <fill>
        <patternFill>
          <bgColor theme="0" tint="-4.9989318521683403E-2"/>
        </patternFill>
      </fill>
    </dxf>
    <dxf>
      <fill>
        <patternFill>
          <bgColor theme="0" tint="-4.9989318521683403E-2"/>
        </patternFill>
      </fill>
    </dxf>
    <dxf>
      <fill>
        <patternFill>
          <bgColor theme="9" tint="0.59996337778862885"/>
        </patternFill>
      </fill>
    </dxf>
    <dxf>
      <fill>
        <patternFill>
          <bgColor theme="0" tint="-4.9989318521683403E-2"/>
        </patternFill>
      </fill>
    </dxf>
    <dxf>
      <fill>
        <patternFill>
          <bgColor theme="0" tint="-4.9989318521683403E-2"/>
        </patternFill>
      </fill>
    </dxf>
    <dxf>
      <fill>
        <patternFill>
          <bgColor theme="9" tint="0.59996337778862885"/>
        </patternFill>
      </fill>
    </dxf>
    <dxf>
      <fill>
        <patternFill>
          <bgColor theme="0" tint="-4.9989318521683403E-2"/>
        </patternFill>
      </fill>
    </dxf>
    <dxf>
      <fill>
        <patternFill>
          <bgColor theme="9" tint="0.59996337778862885"/>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8"/>
          <bgColor theme="8"/>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rgb="FF000000"/>
        <name val="Calibri"/>
        <scheme val="none"/>
      </font>
    </dxf>
    <dxf>
      <font>
        <b/>
        <i val="0"/>
        <strike val="0"/>
        <condense val="0"/>
        <extend val="0"/>
        <outline val="0"/>
        <shadow val="0"/>
        <u val="none"/>
        <vertAlign val="baseline"/>
        <sz val="11"/>
        <color theme="0"/>
        <name val="Calibri"/>
        <scheme val="minor"/>
      </font>
      <fill>
        <patternFill patternType="solid">
          <fgColor theme="8"/>
          <bgColor theme="8"/>
        </patternFill>
      </fill>
    </dxf>
    <dxf>
      <font>
        <b/>
        <i val="0"/>
        <color auto="1"/>
      </font>
      <fill>
        <patternFill>
          <bgColor theme="0" tint="-0.14996795556505021"/>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1" defaultTableStyle="TableStyleMedium9" defaultPivotStyle="PivotStyleLight16">
    <tableStyle name="GrayStyle" pivot="0" count="2" xr9:uid="{4F05F72A-14D4-4D50-AFC7-3AE69E192219}">
      <tableStyleElement type="wholeTable" dxfId="18"/>
      <tableStyleElement type="headerRow" dxfId="17"/>
    </tableStyle>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8</xdr:row>
          <xdr:rowOff>19050</xdr:rowOff>
        </xdr:from>
        <xdr:to>
          <xdr:col>2</xdr:col>
          <xdr:colOff>1857375</xdr:colOff>
          <xdr:row>10</xdr:row>
          <xdr:rowOff>114300</xdr:rowOff>
        </xdr:to>
        <xdr:sp macro="" textlink="">
          <xdr:nvSpPr>
            <xdr:cNvPr id="4097" name="cmdAddHolSheet"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400050</xdr:colOff>
          <xdr:row>4</xdr:row>
          <xdr:rowOff>123825</xdr:rowOff>
        </xdr:from>
        <xdr:to>
          <xdr:col>12</xdr:col>
          <xdr:colOff>57150</xdr:colOff>
          <xdr:row>6</xdr:row>
          <xdr:rowOff>66675</xdr:rowOff>
        </xdr:to>
        <xdr:sp macro="" textlink="">
          <xdr:nvSpPr>
            <xdr:cNvPr id="7169" name="cmdCalc"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0</xdr:row>
          <xdr:rowOff>133350</xdr:rowOff>
        </xdr:from>
        <xdr:to>
          <xdr:col>4</xdr:col>
          <xdr:colOff>904875</xdr:colOff>
          <xdr:row>2</xdr:row>
          <xdr:rowOff>66675</xdr:rowOff>
        </xdr:to>
        <xdr:sp macro="" textlink="">
          <xdr:nvSpPr>
            <xdr:cNvPr id="7170" name="cmdLoadDefs"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400050</xdr:colOff>
          <xdr:row>4</xdr:row>
          <xdr:rowOff>123825</xdr:rowOff>
        </xdr:from>
        <xdr:to>
          <xdr:col>12</xdr:col>
          <xdr:colOff>190500</xdr:colOff>
          <xdr:row>6</xdr:row>
          <xdr:rowOff>66675</xdr:rowOff>
        </xdr:to>
        <xdr:sp macro="" textlink="">
          <xdr:nvSpPr>
            <xdr:cNvPr id="5121" name="cmdCalc"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0</xdr:row>
          <xdr:rowOff>133350</xdr:rowOff>
        </xdr:from>
        <xdr:to>
          <xdr:col>4</xdr:col>
          <xdr:colOff>904875</xdr:colOff>
          <xdr:row>2</xdr:row>
          <xdr:rowOff>66675</xdr:rowOff>
        </xdr:to>
        <xdr:sp macro="" textlink="">
          <xdr:nvSpPr>
            <xdr:cNvPr id="5122" name="cmdLoadDefs"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Q6:R10" totalsRowShown="0">
  <autoFilter ref="Q6:R10" xr:uid="{00000000-0009-0000-0100-000001000000}"/>
  <tableColumns count="2">
    <tableColumn id="1" xr3:uid="{00000000-0010-0000-0000-000001000000}" name="Name"/>
    <tableColumn id="2" xr3:uid="{00000000-0010-0000-0000-000002000000}" name="Symbol"/>
  </tableColumns>
  <tableStyleInfo name="Gray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047D81-02CB-4BBC-A6C7-9F6F5DBDDF6D}" name="tblHolidayScheduleSheets" displayName="tblHolidayScheduleSheets" ref="C14:C15" totalsRowShown="0">
  <autoFilter ref="C14:C15" xr:uid="{6F047D81-02CB-4BBC-A6C7-9F6F5DBDDF6D}"/>
  <tableColumns count="1">
    <tableColumn id="1" xr3:uid="{69DD1068-23B1-4DA5-B306-86322A2DF74E}" name="Holiday Schedule Sheets"/>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D148CF9-0354-4DDB-B8EB-ACFC447AA52F}" name="HolTblUS" displayName="HolTblUS" ref="L8:M260" totalsRowShown="0" headerRowDxfId="16" dataDxfId="15">
  <autoFilter ref="L8:M260" xr:uid="{00000000-0009-0000-0100-000002000000}"/>
  <tableColumns count="2">
    <tableColumn id="1" xr3:uid="{1A62E516-4471-433C-9971-93CBAED5B030}" name="Holiday" dataDxfId="14"/>
    <tableColumn id="2" xr3:uid="{314B3F0C-09EE-4549-BA19-BE10C9E9CF15}" name="Date" dataDxfId="13"/>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33B555B-B699-425E-A314-117CD7298C1F}" name="tblEasterSundays" displayName="tblEasterSundays" ref="B2:C7" totalsRowShown="0">
  <autoFilter ref="B2:C7" xr:uid="{233B555B-B699-425E-A314-117CD7298C1F}"/>
  <tableColumns count="2">
    <tableColumn id="1" xr3:uid="{CFF90A4C-2864-46EB-A43D-79EEA1424332}" name="Year"/>
    <tableColumn id="2" xr3:uid="{1D3541F2-A2E0-491E-AB3A-E70260BADEE3}" name="Easter Sunday"/>
  </tableColumns>
  <tableStyleInfo name="TableStyleMedium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HolTblHolidays" displayName="HolTblHolidays" ref="L8:M9" insertRow="1" totalsRowShown="0" headerRowDxfId="12" dataDxfId="11">
  <autoFilter ref="L8:M9" xr:uid="{00000000-0009-0000-0100-000002000000}"/>
  <tableColumns count="2">
    <tableColumn id="1" xr3:uid="{00000000-0010-0000-0100-000001000000}" name="Holiday" dataDxfId="10"/>
    <tableColumn id="2" xr3:uid="{00000000-0010-0000-0100-000002000000}" name="Date" dataDxfId="9"/>
  </tableColumns>
  <tableStyleInfo name="TableStyleLight13"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About"/>
  <dimension ref="B3:D15"/>
  <sheetViews>
    <sheetView showGridLines="0" workbookViewId="0"/>
  </sheetViews>
  <sheetFormatPr defaultRowHeight="15" x14ac:dyDescent="0.25"/>
  <cols>
    <col min="1" max="1" width="4.7109375" customWidth="1"/>
    <col min="2" max="2" width="2.5703125" customWidth="1"/>
    <col min="3" max="3" width="2.7109375" customWidth="1"/>
    <col min="4" max="4" width="115.5703125" customWidth="1"/>
  </cols>
  <sheetData>
    <row r="3" spans="2:4" x14ac:dyDescent="0.25">
      <c r="B3" s="34" t="s">
        <v>63</v>
      </c>
    </row>
    <row r="4" spans="2:4" ht="30" customHeight="1" x14ac:dyDescent="0.25">
      <c r="C4" s="44" t="s">
        <v>113</v>
      </c>
      <c r="D4" s="44"/>
    </row>
    <row r="5" spans="2:4" x14ac:dyDescent="0.25">
      <c r="C5" s="42" t="s">
        <v>108</v>
      </c>
      <c r="D5" t="s">
        <v>112</v>
      </c>
    </row>
    <row r="6" spans="2:4" ht="4.1500000000000004" customHeight="1" x14ac:dyDescent="0.25">
      <c r="C6" s="42"/>
    </row>
    <row r="7" spans="2:4" ht="45" x14ac:dyDescent="0.25">
      <c r="C7" s="42" t="s">
        <v>109</v>
      </c>
      <c r="D7" s="33" t="s">
        <v>117</v>
      </c>
    </row>
    <row r="9" spans="2:4" x14ac:dyDescent="0.25">
      <c r="B9" s="41" t="s">
        <v>107</v>
      </c>
    </row>
    <row r="10" spans="2:4" x14ac:dyDescent="0.25">
      <c r="B10" s="36" t="s">
        <v>65</v>
      </c>
      <c r="C10" s="44" t="s">
        <v>116</v>
      </c>
      <c r="D10" s="44"/>
    </row>
    <row r="11" spans="2:4" ht="30" x14ac:dyDescent="0.25">
      <c r="B11" s="37"/>
      <c r="C11" s="39" t="s">
        <v>108</v>
      </c>
      <c r="D11" s="33" t="s">
        <v>77</v>
      </c>
    </row>
    <row r="12" spans="2:4" ht="4.5" customHeight="1" x14ac:dyDescent="0.25">
      <c r="B12" s="37"/>
      <c r="C12" s="39"/>
      <c r="D12" s="33"/>
    </row>
    <row r="13" spans="2:4" x14ac:dyDescent="0.25">
      <c r="B13" s="37"/>
      <c r="C13" s="38" t="s">
        <v>109</v>
      </c>
      <c r="D13" s="33" t="s">
        <v>76</v>
      </c>
    </row>
    <row r="14" spans="2:4" x14ac:dyDescent="0.25">
      <c r="B14" s="37"/>
      <c r="D14" s="33"/>
    </row>
    <row r="15" spans="2:4" ht="30" customHeight="1" x14ac:dyDescent="0.25">
      <c r="B15" s="36" t="s">
        <v>66</v>
      </c>
      <c r="C15" s="44" t="s">
        <v>121</v>
      </c>
      <c r="D15" s="44"/>
    </row>
  </sheetData>
  <mergeCells count="3">
    <mergeCell ref="C4:D4"/>
    <mergeCell ref="C10:D10"/>
    <mergeCell ref="C15:D15"/>
  </mergeCells>
  <pageMargins left="0.7" right="0.7" top="0.75" bottom="0.75" header="0.3" footer="0.3"/>
  <pageSetup orientation="portrait" r:id="rId1"/>
  <ignoredErrors>
    <ignoredError sqref="B10:B15" numberStoredAsText="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sMain"/>
  <dimension ref="B1:R375"/>
  <sheetViews>
    <sheetView showGridLines="0" showRowColHeaders="0" tabSelected="1" zoomScale="80" zoomScaleNormal="80" workbookViewId="0">
      <selection activeCell="F10" sqref="F10"/>
    </sheetView>
  </sheetViews>
  <sheetFormatPr defaultRowHeight="15" x14ac:dyDescent="0.25"/>
  <cols>
    <col min="1" max="1" width="5.7109375" customWidth="1"/>
    <col min="2" max="2" width="4.7109375" customWidth="1"/>
    <col min="3" max="3" width="29.42578125" bestFit="1" customWidth="1"/>
    <col min="4" max="4" width="4.5703125" customWidth="1"/>
    <col min="5" max="5" width="5.7109375" customWidth="1"/>
    <col min="6" max="6" width="26.28515625" bestFit="1" customWidth="1"/>
    <col min="7" max="7" width="21.42578125" bestFit="1" customWidth="1"/>
    <col min="8" max="8" width="26" bestFit="1" customWidth="1"/>
    <col min="9" max="9" width="5.85546875" customWidth="1"/>
    <col min="10" max="10" width="26.28515625" bestFit="1" customWidth="1"/>
    <col min="11" max="11" width="13.7109375" bestFit="1" customWidth="1"/>
    <col min="12" max="12" width="19.28515625" bestFit="1" customWidth="1"/>
    <col min="13" max="13" width="21.42578125" bestFit="1" customWidth="1"/>
    <col min="14" max="14" width="9.140625" customWidth="1"/>
    <col min="17" max="17" width="20.140625" bestFit="1" customWidth="1"/>
    <col min="18" max="18" width="10.7109375" customWidth="1"/>
  </cols>
  <sheetData>
    <row r="1" spans="2:18" ht="7.5" customHeight="1" x14ac:dyDescent="0.25"/>
    <row r="2" spans="2:18" ht="18.75" x14ac:dyDescent="0.3">
      <c r="B2" s="45" t="s">
        <v>118</v>
      </c>
      <c r="C2" s="45"/>
      <c r="D2" s="45"/>
      <c r="E2" s="45"/>
      <c r="F2" s="45"/>
      <c r="G2" s="45"/>
      <c r="H2" s="45"/>
      <c r="I2" s="45"/>
      <c r="J2" s="45"/>
      <c r="K2" s="45"/>
      <c r="L2" s="45"/>
      <c r="M2" s="45"/>
      <c r="Q2" s="46" t="s">
        <v>73</v>
      </c>
      <c r="R2" s="46"/>
    </row>
    <row r="3" spans="2:18" ht="7.5" customHeight="1" x14ac:dyDescent="0.25"/>
    <row r="4" spans="2:18" ht="15.75" x14ac:dyDescent="0.25">
      <c r="B4" s="5" t="s">
        <v>74</v>
      </c>
      <c r="F4" s="34" t="s">
        <v>119</v>
      </c>
      <c r="J4" s="5" t="s">
        <v>120</v>
      </c>
      <c r="Q4" s="5" t="s">
        <v>1</v>
      </c>
    </row>
    <row r="5" spans="2:18" ht="15.75" thickBot="1" x14ac:dyDescent="0.3"/>
    <row r="6" spans="2:18" x14ac:dyDescent="0.25">
      <c r="B6" s="21"/>
      <c r="C6" s="6"/>
      <c r="D6" s="7"/>
      <c r="F6" s="20" t="s">
        <v>58</v>
      </c>
      <c r="G6" s="51" t="s">
        <v>6</v>
      </c>
      <c r="J6" s="20" t="s">
        <v>58</v>
      </c>
      <c r="K6" s="51" t="s">
        <v>6</v>
      </c>
      <c r="L6" s="31"/>
      <c r="Q6" t="s">
        <v>0</v>
      </c>
      <c r="R6" t="s">
        <v>3</v>
      </c>
    </row>
    <row r="7" spans="2:18" ht="15.75" x14ac:dyDescent="0.25">
      <c r="B7" s="22"/>
      <c r="C7" s="27" t="str" cm="1">
        <f t="array" ref="C7">GetHolidaySheetStatus()</f>
        <v>1 holiday sheet is loaded!</v>
      </c>
      <c r="D7" s="8"/>
      <c r="F7" s="47" t="s">
        <v>59</v>
      </c>
      <c r="G7" s="48" t="s">
        <v>78</v>
      </c>
      <c r="J7" s="47" t="s">
        <v>59</v>
      </c>
      <c r="K7" s="48" t="s">
        <v>78</v>
      </c>
      <c r="L7" s="32"/>
      <c r="Q7" t="s">
        <v>2</v>
      </c>
      <c r="R7" t="s">
        <v>4</v>
      </c>
    </row>
    <row r="8" spans="2:18" ht="15.75" thickBot="1" x14ac:dyDescent="0.3">
      <c r="B8" s="22"/>
      <c r="D8" s="8"/>
      <c r="F8" s="49" t="s">
        <v>111</v>
      </c>
      <c r="G8" s="52">
        <v>2023</v>
      </c>
      <c r="J8" s="49" t="s">
        <v>14</v>
      </c>
      <c r="K8" s="50">
        <v>45253</v>
      </c>
      <c r="L8" s="32"/>
      <c r="Q8" t="s">
        <v>5</v>
      </c>
      <c r="R8" t="s">
        <v>6</v>
      </c>
    </row>
    <row r="9" spans="2:18" ht="15.75" thickBot="1" x14ac:dyDescent="0.3">
      <c r="B9" s="22"/>
      <c r="D9" s="8"/>
      <c r="Q9" t="s">
        <v>7</v>
      </c>
      <c r="R9" t="s">
        <v>8</v>
      </c>
    </row>
    <row r="10" spans="2:18" x14ac:dyDescent="0.25">
      <c r="B10" s="22"/>
      <c r="D10" s="8"/>
      <c r="F10" s="17" t="s">
        <v>15</v>
      </c>
      <c r="G10" s="18" t="s">
        <v>20</v>
      </c>
      <c r="H10" s="19" t="s">
        <v>60</v>
      </c>
      <c r="J10" s="17" t="s">
        <v>15</v>
      </c>
      <c r="K10" s="18" t="s">
        <v>16</v>
      </c>
      <c r="L10" s="18" t="s">
        <v>20</v>
      </c>
      <c r="M10" s="19" t="s">
        <v>60</v>
      </c>
      <c r="Q10" t="s">
        <v>61</v>
      </c>
      <c r="R10" t="s">
        <v>62</v>
      </c>
    </row>
    <row r="11" spans="2:18" x14ac:dyDescent="0.25">
      <c r="B11" s="22"/>
      <c r="D11" s="8"/>
      <c r="F11" s="53">
        <f>DATE(DateCalcYear,1,1)</f>
        <v>44927</v>
      </c>
      <c r="G11" s="12" cm="1">
        <f t="array" aca="1" ref="G11" ca="1">GetBusinessDate($F11,BusinessDayConv,IF(ISBLANK(HolidaySheet),HolidaySheet,INDIRECT("HolTbl"&amp;HolidaySheet&amp;"[Date]")))</f>
        <v>44929</v>
      </c>
      <c r="H11" s="54" t="str">
        <f ca="1">IF(OR(WEEKDAY($F11)=1,WEEKDAY($F11)=7),"Weekend",IFERROR(INDEX(INDIRECT("HolTbl"&amp;HolidaySheet&amp;"[Holiday]"),MATCH($F11,INDIRECT("HolTbl"&amp;HolidaySheet&amp;"[Date]"),0)),$G$10))</f>
        <v>Weekend</v>
      </c>
      <c r="J11" s="11" t="s">
        <v>17</v>
      </c>
      <c r="K11" s="12" cm="1">
        <f t="array" ref="K11">AddTerm(RefDate,J11)</f>
        <v>45254</v>
      </c>
      <c r="L11" s="28" cm="1">
        <f t="array" aca="1" ref="L11" ca="1">GetBusinessDate($K11,BusinessDayConv2,IF(ISBLANK(HolidaySheet2),HolidaySheet2,INDIRECT("HolTbl"&amp;HolidaySheet2&amp;"[Date]")))</f>
        <v>45254</v>
      </c>
      <c r="M11" s="24" t="str">
        <f ca="1">IF(OR(WEEKDAY($K11)=1,WEEKDAY($K11)=7),"Weekend",IFERROR(INDEX(INDIRECT("HolTbl"&amp;HolidaySheet2&amp;"[Holiday]"),MATCH($K11,INDIRECT("HolTbl"&amp;HolidaySheet2&amp;"[Date]"),0)),$L$10))</f>
        <v>Good Business Date</v>
      </c>
    </row>
    <row r="12" spans="2:18" ht="15.75" thickBot="1" x14ac:dyDescent="0.3">
      <c r="B12" s="23"/>
      <c r="C12" s="9"/>
      <c r="D12" s="10"/>
      <c r="F12" s="55">
        <f>F11+1</f>
        <v>44928</v>
      </c>
      <c r="G12" s="14" cm="1">
        <f t="array" aca="1" ref="G12" ca="1">GetBusinessDate($F12,BusinessDayConv,IF(ISBLANK(HolidaySheet),HolidaySheet,INDIRECT("HolTbl"&amp;HolidaySheet&amp;"[Date]")))</f>
        <v>44929</v>
      </c>
      <c r="H12" s="56" t="str">
        <f ca="1">IF(OR(WEEKDAY($F12)=1,WEEKDAY($F12)=7),"Weekend",IFERROR(INDEX(INDIRECT("HolTbl"&amp;HolidaySheet&amp;"[Holiday]"),MATCH($F12,INDIRECT("HolTbl"&amp;HolidaySheet&amp;"[Date]"),0)),$G$10))</f>
        <v>New Year's Day</v>
      </c>
      <c r="J12" s="13" t="s">
        <v>18</v>
      </c>
      <c r="K12" s="14" cm="1">
        <f t="array" ref="K12">AddTerm(RefDate,J12)</f>
        <v>45255</v>
      </c>
      <c r="L12" s="29" cm="1">
        <f t="array" aca="1" ref="L12" ca="1">GetBusinessDate($K12,BusinessDayConv2,IF(ISBLANK(HolidaySheet2),HolidaySheet2,INDIRECT("HolTbl"&amp;HolidaySheet2&amp;"[Date]")))</f>
        <v>45257</v>
      </c>
      <c r="M12" s="15" t="str">
        <f ca="1">IF(OR(WEEKDAY($K12)=1,WEEKDAY($K12)=7),"Weekend",IFERROR(INDEX(INDIRECT("HolTbl"&amp;HolidaySheet2&amp;"[Holiday]"),MATCH($K12,INDIRECT("HolTbl"&amp;HolidaySheet2&amp;"[Date]"),0)),$L$10))</f>
        <v>Weekend</v>
      </c>
    </row>
    <row r="13" spans="2:18" x14ac:dyDescent="0.25">
      <c r="F13" s="55">
        <f t="shared" ref="F13:F76" si="0">F12+1</f>
        <v>44929</v>
      </c>
      <c r="G13" s="14" cm="1">
        <f t="array" aca="1" ref="G13" ca="1">GetBusinessDate($F13,BusinessDayConv,IF(ISBLANK(HolidaySheet),HolidaySheet,INDIRECT("HolTbl"&amp;HolidaySheet&amp;"[Date]")))</f>
        <v>44929</v>
      </c>
      <c r="H13" s="56" t="str">
        <f ca="1">IF(OR(WEEKDAY($F13)=1,WEEKDAY($F13)=7),"Weekend",IFERROR(INDEX(INDIRECT("HolTbl"&amp;HolidaySheet&amp;"[Holiday]"),MATCH($F13,INDIRECT("HolTbl"&amp;HolidaySheet&amp;"[Date]"),0)),$G$10))</f>
        <v>Good Business Date</v>
      </c>
      <c r="J13" s="13" t="s">
        <v>22</v>
      </c>
      <c r="K13" s="14" cm="1">
        <f t="array" ref="K13">AddTerm(RefDate,J13)</f>
        <v>45256</v>
      </c>
      <c r="L13" s="29" cm="1">
        <f t="array" aca="1" ref="L13" ca="1">GetBusinessDate($K13,BusinessDayConv2,IF(ISBLANK(HolidaySheet2),HolidaySheet2,INDIRECT("HolTbl"&amp;HolidaySheet2&amp;"[Date]")))</f>
        <v>45257</v>
      </c>
      <c r="M13" s="15" t="str">
        <f ca="1">IF(OR(WEEKDAY($K13)=1,WEEKDAY($K13)=7),"Weekend",IFERROR(INDEX(INDIRECT("HolTbl"&amp;HolidaySheet2&amp;"[Holiday]"),MATCH($K13,INDIRECT("HolTbl"&amp;HolidaySheet2&amp;"[Date]"),0)),$L$10))</f>
        <v>Weekend</v>
      </c>
    </row>
    <row r="14" spans="2:18" x14ac:dyDescent="0.25">
      <c r="C14" t="s">
        <v>75</v>
      </c>
      <c r="F14" s="55">
        <f t="shared" si="0"/>
        <v>44930</v>
      </c>
      <c r="G14" s="14" cm="1">
        <f t="array" aca="1" ref="G14" ca="1">GetBusinessDate($F14,BusinessDayConv,IF(ISBLANK(HolidaySheet),HolidaySheet,INDIRECT("HolTbl"&amp;HolidaySheet&amp;"[Date]")))</f>
        <v>44930</v>
      </c>
      <c r="H14" s="56" t="str">
        <f ca="1">IF(OR(WEEKDAY($F14)=1,WEEKDAY($F14)=7),"Weekend",IFERROR(INDEX(INDIRECT("HolTbl"&amp;HolidaySheet&amp;"[Holiday]"),MATCH($F14,INDIRECT("HolTbl"&amp;HolidaySheet&amp;"[Date]"),0)),$G$10))</f>
        <v>Good Business Date</v>
      </c>
      <c r="J14" s="13" t="s">
        <v>23</v>
      </c>
      <c r="K14" s="14" cm="1">
        <f t="array" ref="K14">AddTerm(RefDate,J14)</f>
        <v>45257</v>
      </c>
      <c r="L14" s="29" cm="1">
        <f t="array" aca="1" ref="L14" ca="1">GetBusinessDate($K14,BusinessDayConv2,IF(ISBLANK(HolidaySheet2),HolidaySheet2,INDIRECT("HolTbl"&amp;HolidaySheet2&amp;"[Date]")))</f>
        <v>45257</v>
      </c>
      <c r="M14" s="15" t="str">
        <f ca="1">IF(OR(WEEKDAY($K14)=1,WEEKDAY($K14)=7),"Weekend",IFERROR(INDEX(INDIRECT("HolTbl"&amp;HolidaySheet2&amp;"[Holiday]"),MATCH($K14,INDIRECT("HolTbl"&amp;HolidaySheet2&amp;"[Date]"),0)),$L$10))</f>
        <v>Good Business Date</v>
      </c>
    </row>
    <row r="15" spans="2:18" x14ac:dyDescent="0.25">
      <c r="C15" t="s">
        <v>78</v>
      </c>
      <c r="F15" s="55">
        <f t="shared" si="0"/>
        <v>44931</v>
      </c>
      <c r="G15" s="14" cm="1">
        <f t="array" aca="1" ref="G15" ca="1">GetBusinessDate($F15,BusinessDayConv,IF(ISBLANK(HolidaySheet),HolidaySheet,INDIRECT("HolTbl"&amp;HolidaySheet&amp;"[Date]")))</f>
        <v>44931</v>
      </c>
      <c r="H15" s="56" t="str">
        <f ca="1">IF(OR(WEEKDAY($F15)=1,WEEKDAY($F15)=7),"Weekend",IFERROR(INDEX(INDIRECT("HolTbl"&amp;HolidaySheet&amp;"[Holiday]"),MATCH($F15,INDIRECT("HolTbl"&amp;HolidaySheet&amp;"[Date]"),0)),$G$10))</f>
        <v>Good Business Date</v>
      </c>
      <c r="J15" s="13" t="s">
        <v>24</v>
      </c>
      <c r="K15" s="14" cm="1">
        <f t="array" ref="K15">AddTerm(RefDate,J15)</f>
        <v>45258</v>
      </c>
      <c r="L15" s="29" cm="1">
        <f t="array" aca="1" ref="L15" ca="1">GetBusinessDate($K15,BusinessDayConv2,IF(ISBLANK(HolidaySheet2),HolidaySheet2,INDIRECT("HolTbl"&amp;HolidaySheet2&amp;"[Date]")))</f>
        <v>45258</v>
      </c>
      <c r="M15" s="15" t="str">
        <f ca="1">IF(OR(WEEKDAY($K15)=1,WEEKDAY($K15)=7),"Weekend",IFERROR(INDEX(INDIRECT("HolTbl"&amp;HolidaySheet2&amp;"[Holiday]"),MATCH($K15,INDIRECT("HolTbl"&amp;HolidaySheet2&amp;"[Date]"),0)),$L$10))</f>
        <v>Good Business Date</v>
      </c>
    </row>
    <row r="16" spans="2:18" x14ac:dyDescent="0.25">
      <c r="F16" s="55">
        <f t="shared" si="0"/>
        <v>44932</v>
      </c>
      <c r="G16" s="14" cm="1">
        <f t="array" aca="1" ref="G16" ca="1">GetBusinessDate($F16,BusinessDayConv,IF(ISBLANK(HolidaySheet),HolidaySheet,INDIRECT("HolTbl"&amp;HolidaySheet&amp;"[Date]")))</f>
        <v>44932</v>
      </c>
      <c r="H16" s="56" t="str">
        <f ca="1">IF(OR(WEEKDAY($F16)=1,WEEKDAY($F16)=7),"Weekend",IFERROR(INDEX(INDIRECT("HolTbl"&amp;HolidaySheet&amp;"[Holiday]"),MATCH($F16,INDIRECT("HolTbl"&amp;HolidaySheet&amp;"[Date]"),0)),$G$10))</f>
        <v>Good Business Date</v>
      </c>
      <c r="J16" s="13" t="s">
        <v>19</v>
      </c>
      <c r="K16" s="14" cm="1">
        <f t="array" ref="K16">AddTerm(RefDate,J16)</f>
        <v>45260</v>
      </c>
      <c r="L16" s="29" cm="1">
        <f t="array" aca="1" ref="L16" ca="1">GetBusinessDate($K16,BusinessDayConv2,IF(ISBLANK(HolidaySheet2),HolidaySheet2,INDIRECT("HolTbl"&amp;HolidaySheet2&amp;"[Date]")))</f>
        <v>45260</v>
      </c>
      <c r="M16" s="15" t="str">
        <f ca="1">IF(OR(WEEKDAY($K16)=1,WEEKDAY($K16)=7),"Weekend",IFERROR(INDEX(INDIRECT("HolTbl"&amp;HolidaySheet2&amp;"[Holiday]"),MATCH($K16,INDIRECT("HolTbl"&amp;HolidaySheet2&amp;"[Date]"),0)),$L$10))</f>
        <v>Good Business Date</v>
      </c>
    </row>
    <row r="17" spans="6:13" x14ac:dyDescent="0.25">
      <c r="F17" s="55">
        <f t="shared" si="0"/>
        <v>44933</v>
      </c>
      <c r="G17" s="14" cm="1">
        <f t="array" aca="1" ref="G17" ca="1">GetBusinessDate($F17,BusinessDayConv,IF(ISBLANK(HolidaySheet),HolidaySheet,INDIRECT("HolTbl"&amp;HolidaySheet&amp;"[Date]")))</f>
        <v>44935</v>
      </c>
      <c r="H17" s="56" t="str">
        <f ca="1">IF(OR(WEEKDAY($F17)=1,WEEKDAY($F17)=7),"Weekend",IFERROR(INDEX(INDIRECT("HolTbl"&amp;HolidaySheet&amp;"[Holiday]"),MATCH($F17,INDIRECT("HolTbl"&amp;HolidaySheet&amp;"[Date]"),0)),$G$10))</f>
        <v>Weekend</v>
      </c>
      <c r="J17" s="13" t="s">
        <v>21</v>
      </c>
      <c r="K17" s="14" cm="1">
        <f t="array" ref="K17">AddTerm(RefDate,J17)</f>
        <v>45267</v>
      </c>
      <c r="L17" s="29" cm="1">
        <f t="array" aca="1" ref="L17" ca="1">GetBusinessDate($K17,BusinessDayConv2,IF(ISBLANK(HolidaySheet2),HolidaySheet2,INDIRECT("HolTbl"&amp;HolidaySheet2&amp;"[Date]")))</f>
        <v>45267</v>
      </c>
      <c r="M17" s="15" t="str">
        <f ca="1">IF(OR(WEEKDAY($K17)=1,WEEKDAY($K17)=7),"Weekend",IFERROR(INDEX(INDIRECT("HolTbl"&amp;HolidaySheet2&amp;"[Holiday]"),MATCH($K17,INDIRECT("HolTbl"&amp;HolidaySheet2&amp;"[Date]"),0)),$L$10))</f>
        <v>Good Business Date</v>
      </c>
    </row>
    <row r="18" spans="6:13" x14ac:dyDescent="0.25">
      <c r="F18" s="55">
        <f t="shared" si="0"/>
        <v>44934</v>
      </c>
      <c r="G18" s="14" cm="1">
        <f t="array" aca="1" ref="G18" ca="1">GetBusinessDate($F18,BusinessDayConv,IF(ISBLANK(HolidaySheet),HolidaySheet,INDIRECT("HolTbl"&amp;HolidaySheet&amp;"[Date]")))</f>
        <v>44935</v>
      </c>
      <c r="H18" s="56" t="str">
        <f ca="1">IF(OR(WEEKDAY($F18)=1,WEEKDAY($F18)=7),"Weekend",IFERROR(INDEX(INDIRECT("HolTbl"&amp;HolidaySheet&amp;"[Holiday]"),MATCH($F18,INDIRECT("HolTbl"&amp;HolidaySheet&amp;"[Date]"),0)),$G$10))</f>
        <v>Weekend</v>
      </c>
      <c r="J18" s="13" t="s">
        <v>25</v>
      </c>
      <c r="K18" s="14" cm="1">
        <f t="array" ref="K18">AddTerm(RefDate,J18)</f>
        <v>45283</v>
      </c>
      <c r="L18" s="29" cm="1">
        <f t="array" aca="1" ref="L18" ca="1">GetBusinessDate($K18,BusinessDayConv2,IF(ISBLANK(HolidaySheet2),HolidaySheet2,INDIRECT("HolTbl"&amp;HolidaySheet2&amp;"[Date]")))</f>
        <v>45286</v>
      </c>
      <c r="M18" s="15" t="str">
        <f ca="1">IF(OR(WEEKDAY($K18)=1,WEEKDAY($K18)=7),"Weekend",IFERROR(INDEX(INDIRECT("HolTbl"&amp;HolidaySheet2&amp;"[Holiday]"),MATCH($K18,INDIRECT("HolTbl"&amp;HolidaySheet2&amp;"[Date]"),0)),$L$10))</f>
        <v>Weekend</v>
      </c>
    </row>
    <row r="19" spans="6:13" x14ac:dyDescent="0.25">
      <c r="F19" s="55">
        <f t="shared" si="0"/>
        <v>44935</v>
      </c>
      <c r="G19" s="14" cm="1">
        <f t="array" aca="1" ref="G19" ca="1">GetBusinessDate($F19,BusinessDayConv,IF(ISBLANK(HolidaySheet),HolidaySheet,INDIRECT("HolTbl"&amp;HolidaySheet&amp;"[Date]")))</f>
        <v>44935</v>
      </c>
      <c r="H19" s="56" t="str">
        <f ca="1">IF(OR(WEEKDAY($F19)=1,WEEKDAY($F19)=7),"Weekend",IFERROR(INDEX(INDIRECT("HolTbl"&amp;HolidaySheet&amp;"[Holiday]"),MATCH($F19,INDIRECT("HolTbl"&amp;HolidaySheet&amp;"[Date]"),0)),$G$10))</f>
        <v>Good Business Date</v>
      </c>
      <c r="J19" s="13" t="s">
        <v>26</v>
      </c>
      <c r="K19" s="14" cm="1">
        <f t="array" ref="K19">AddTerm(RefDate,J19)</f>
        <v>45298</v>
      </c>
      <c r="L19" s="29" cm="1">
        <f t="array" aca="1" ref="L19" ca="1">GetBusinessDate($K19,BusinessDayConv2,IF(ISBLANK(HolidaySheet2),HolidaySheet2,INDIRECT("HolTbl"&amp;HolidaySheet2&amp;"[Date]")))</f>
        <v>45299</v>
      </c>
      <c r="M19" s="15" t="str">
        <f ca="1">IF(OR(WEEKDAY($K19)=1,WEEKDAY($K19)=7),"Weekend",IFERROR(INDEX(INDIRECT("HolTbl"&amp;HolidaySheet2&amp;"[Holiday]"),MATCH($K19,INDIRECT("HolTbl"&amp;HolidaySheet2&amp;"[Date]"),0)),$L$10))</f>
        <v>Weekend</v>
      </c>
    </row>
    <row r="20" spans="6:13" x14ac:dyDescent="0.25">
      <c r="F20" s="55">
        <f t="shared" si="0"/>
        <v>44936</v>
      </c>
      <c r="G20" s="14" cm="1">
        <f t="array" aca="1" ref="G20" ca="1">GetBusinessDate($F20,BusinessDayConv,IF(ISBLANK(HolidaySheet),HolidaySheet,INDIRECT("HolTbl"&amp;HolidaySheet&amp;"[Date]")))</f>
        <v>44936</v>
      </c>
      <c r="H20" s="56" t="str">
        <f ca="1">IF(OR(WEEKDAY($F20)=1,WEEKDAY($F20)=7),"Weekend",IFERROR(INDEX(INDIRECT("HolTbl"&amp;HolidaySheet&amp;"[Holiday]"),MATCH($F20,INDIRECT("HolTbl"&amp;HolidaySheet&amp;"[Date]"),0)),$G$10))</f>
        <v>Good Business Date</v>
      </c>
      <c r="J20" s="13" t="s">
        <v>27</v>
      </c>
      <c r="K20" s="14" cm="1">
        <f t="array" ref="K20">AddTerm(RefDate,J20)</f>
        <v>45314</v>
      </c>
      <c r="L20" s="29" cm="1">
        <f t="array" aca="1" ref="L20" ca="1">GetBusinessDate($K20,BusinessDayConv2,IF(ISBLANK(HolidaySheet2),HolidaySheet2,INDIRECT("HolTbl"&amp;HolidaySheet2&amp;"[Date]")))</f>
        <v>45314</v>
      </c>
      <c r="M20" s="15" t="str">
        <f ca="1">IF(OR(WEEKDAY($K20)=1,WEEKDAY($K20)=7),"Weekend",IFERROR(INDEX(INDIRECT("HolTbl"&amp;HolidaySheet2&amp;"[Holiday]"),MATCH($K20,INDIRECT("HolTbl"&amp;HolidaySheet2&amp;"[Date]"),0)),$L$10))</f>
        <v>Good Business Date</v>
      </c>
    </row>
    <row r="21" spans="6:13" x14ac:dyDescent="0.25">
      <c r="F21" s="55">
        <f t="shared" si="0"/>
        <v>44937</v>
      </c>
      <c r="G21" s="14" cm="1">
        <f t="array" aca="1" ref="G21" ca="1">GetBusinessDate($F21,BusinessDayConv,IF(ISBLANK(HolidaySheet),HolidaySheet,INDIRECT("HolTbl"&amp;HolidaySheet&amp;"[Date]")))</f>
        <v>44937</v>
      </c>
      <c r="H21" s="56" t="str">
        <f ca="1">IF(OR(WEEKDAY($F21)=1,WEEKDAY($F21)=7),"Weekend",IFERROR(INDEX(INDIRECT("HolTbl"&amp;HolidaySheet&amp;"[Holiday]"),MATCH($F21,INDIRECT("HolTbl"&amp;HolidaySheet&amp;"[Date]"),0)),$G$10))</f>
        <v>Good Business Date</v>
      </c>
      <c r="J21" s="13" t="s">
        <v>28</v>
      </c>
      <c r="K21" s="14" cm="1">
        <f t="array" ref="K21">AddTerm(RefDate,J21)</f>
        <v>45345</v>
      </c>
      <c r="L21" s="29" cm="1">
        <f t="array" aca="1" ref="L21" ca="1">GetBusinessDate($K21,BusinessDayConv2,IF(ISBLANK(HolidaySheet2),HolidaySheet2,INDIRECT("HolTbl"&amp;HolidaySheet2&amp;"[Date]")))</f>
        <v>45345</v>
      </c>
      <c r="M21" s="15" t="str">
        <f ca="1">IF(OR(WEEKDAY($K21)=1,WEEKDAY($K21)=7),"Weekend",IFERROR(INDEX(INDIRECT("HolTbl"&amp;HolidaySheet2&amp;"[Holiday]"),MATCH($K21,INDIRECT("HolTbl"&amp;HolidaySheet2&amp;"[Date]"),0)),$L$10))</f>
        <v>Good Business Date</v>
      </c>
    </row>
    <row r="22" spans="6:13" x14ac:dyDescent="0.25">
      <c r="F22" s="55">
        <f t="shared" si="0"/>
        <v>44938</v>
      </c>
      <c r="G22" s="14" cm="1">
        <f t="array" aca="1" ref="G22" ca="1">GetBusinessDate($F22,BusinessDayConv,IF(ISBLANK(HolidaySheet),HolidaySheet,INDIRECT("HolTbl"&amp;HolidaySheet&amp;"[Date]")))</f>
        <v>44938</v>
      </c>
      <c r="H22" s="56" t="str">
        <f ca="1">IF(OR(WEEKDAY($F22)=1,WEEKDAY($F22)=7),"Weekend",IFERROR(INDEX(INDIRECT("HolTbl"&amp;HolidaySheet&amp;"[Holiday]"),MATCH($F22,INDIRECT("HolTbl"&amp;HolidaySheet&amp;"[Date]"),0)),$G$10))</f>
        <v>Good Business Date</v>
      </c>
      <c r="J22" s="13" t="s">
        <v>29</v>
      </c>
      <c r="K22" s="14" cm="1">
        <f t="array" ref="K22">AddTerm(RefDate,J22)</f>
        <v>45374</v>
      </c>
      <c r="L22" s="29" cm="1">
        <f t="array" aca="1" ref="L22" ca="1">GetBusinessDate($K22,BusinessDayConv2,IF(ISBLANK(HolidaySheet2),HolidaySheet2,INDIRECT("HolTbl"&amp;HolidaySheet2&amp;"[Date]")))</f>
        <v>45376</v>
      </c>
      <c r="M22" s="15" t="str">
        <f ca="1">IF(OR(WEEKDAY($K22)=1,WEEKDAY($K22)=7),"Weekend",IFERROR(INDEX(INDIRECT("HolTbl"&amp;HolidaySheet2&amp;"[Holiday]"),MATCH($K22,INDIRECT("HolTbl"&amp;HolidaySheet2&amp;"[Date]"),0)),$L$10))</f>
        <v>Weekend</v>
      </c>
    </row>
    <row r="23" spans="6:13" x14ac:dyDescent="0.25">
      <c r="F23" s="55">
        <f t="shared" si="0"/>
        <v>44939</v>
      </c>
      <c r="G23" s="14" cm="1">
        <f t="array" aca="1" ref="G23" ca="1">GetBusinessDate($F23,BusinessDayConv,IF(ISBLANK(HolidaySheet),HolidaySheet,INDIRECT("HolTbl"&amp;HolidaySheet&amp;"[Date]")))</f>
        <v>44939</v>
      </c>
      <c r="H23" s="56" t="str">
        <f ca="1">IF(OR(WEEKDAY($F23)=1,WEEKDAY($F23)=7),"Weekend",IFERROR(INDEX(INDIRECT("HolTbl"&amp;HolidaySheet&amp;"[Holiday]"),MATCH($F23,INDIRECT("HolTbl"&amp;HolidaySheet&amp;"[Date]"),0)),$G$10))</f>
        <v>Good Business Date</v>
      </c>
      <c r="J23" s="13" t="s">
        <v>30</v>
      </c>
      <c r="K23" s="14" cm="1">
        <f t="array" ref="K23">AddTerm(RefDate,J23)</f>
        <v>45405</v>
      </c>
      <c r="L23" s="29" cm="1">
        <f t="array" aca="1" ref="L23" ca="1">GetBusinessDate($K23,BusinessDayConv2,IF(ISBLANK(HolidaySheet2),HolidaySheet2,INDIRECT("HolTbl"&amp;HolidaySheet2&amp;"[Date]")))</f>
        <v>45405</v>
      </c>
      <c r="M23" s="15" t="str">
        <f ca="1">IF(OR(WEEKDAY($K23)=1,WEEKDAY($K23)=7),"Weekend",IFERROR(INDEX(INDIRECT("HolTbl"&amp;HolidaySheet2&amp;"[Holiday]"),MATCH($K23,INDIRECT("HolTbl"&amp;HolidaySheet2&amp;"[Date]"),0)),$L$10))</f>
        <v>Good Business Date</v>
      </c>
    </row>
    <row r="24" spans="6:13" x14ac:dyDescent="0.25">
      <c r="F24" s="55">
        <f t="shared" si="0"/>
        <v>44940</v>
      </c>
      <c r="G24" s="14" cm="1">
        <f t="array" aca="1" ref="G24" ca="1">GetBusinessDate($F24,BusinessDayConv,IF(ISBLANK(HolidaySheet),HolidaySheet,INDIRECT("HolTbl"&amp;HolidaySheet&amp;"[Date]")))</f>
        <v>44943</v>
      </c>
      <c r="H24" s="56" t="str">
        <f ca="1">IF(OR(WEEKDAY($F24)=1,WEEKDAY($F24)=7),"Weekend",IFERROR(INDEX(INDIRECT("HolTbl"&amp;HolidaySheet&amp;"[Holiday]"),MATCH($F24,INDIRECT("HolTbl"&amp;HolidaySheet&amp;"[Date]"),0)),$G$10))</f>
        <v>Weekend</v>
      </c>
      <c r="J24" s="13" t="s">
        <v>31</v>
      </c>
      <c r="K24" s="14" cm="1">
        <f t="array" ref="K24">AddTerm(RefDate,J24)</f>
        <v>45435</v>
      </c>
      <c r="L24" s="29" cm="1">
        <f t="array" aca="1" ref="L24" ca="1">GetBusinessDate($K24,BusinessDayConv2,IF(ISBLANK(HolidaySheet2),HolidaySheet2,INDIRECT("HolTbl"&amp;HolidaySheet2&amp;"[Date]")))</f>
        <v>45435</v>
      </c>
      <c r="M24" s="15" t="str">
        <f ca="1">IF(OR(WEEKDAY($K24)=1,WEEKDAY($K24)=7),"Weekend",IFERROR(INDEX(INDIRECT("HolTbl"&amp;HolidaySheet2&amp;"[Holiday]"),MATCH($K24,INDIRECT("HolTbl"&amp;HolidaySheet2&amp;"[Date]"),0)),$L$10))</f>
        <v>Good Business Date</v>
      </c>
    </row>
    <row r="25" spans="6:13" x14ac:dyDescent="0.25">
      <c r="F25" s="55">
        <f t="shared" si="0"/>
        <v>44941</v>
      </c>
      <c r="G25" s="14" cm="1">
        <f t="array" aca="1" ref="G25" ca="1">GetBusinessDate($F25,BusinessDayConv,IF(ISBLANK(HolidaySheet),HolidaySheet,INDIRECT("HolTbl"&amp;HolidaySheet&amp;"[Date]")))</f>
        <v>44943</v>
      </c>
      <c r="H25" s="56" t="str">
        <f ca="1">IF(OR(WEEKDAY($F25)=1,WEEKDAY($F25)=7),"Weekend",IFERROR(INDEX(INDIRECT("HolTbl"&amp;HolidaySheet&amp;"[Holiday]"),MATCH($F25,INDIRECT("HolTbl"&amp;HolidaySheet&amp;"[Date]"),0)),$G$10))</f>
        <v>Weekend</v>
      </c>
      <c r="J25" s="13" t="s">
        <v>32</v>
      </c>
      <c r="K25" s="14" cm="1">
        <f t="array" ref="K25">AddTerm(RefDate,J25)</f>
        <v>45466</v>
      </c>
      <c r="L25" s="29" cm="1">
        <f t="array" aca="1" ref="L25" ca="1">GetBusinessDate($K25,BusinessDayConv2,IF(ISBLANK(HolidaySheet2),HolidaySheet2,INDIRECT("HolTbl"&amp;HolidaySheet2&amp;"[Date]")))</f>
        <v>45467</v>
      </c>
      <c r="M25" s="15" t="str">
        <f ca="1">IF(OR(WEEKDAY($K25)=1,WEEKDAY($K25)=7),"Weekend",IFERROR(INDEX(INDIRECT("HolTbl"&amp;HolidaySheet2&amp;"[Holiday]"),MATCH($K25,INDIRECT("HolTbl"&amp;HolidaySheet2&amp;"[Date]"),0)),$L$10))</f>
        <v>Weekend</v>
      </c>
    </row>
    <row r="26" spans="6:13" x14ac:dyDescent="0.25">
      <c r="F26" s="55">
        <f t="shared" si="0"/>
        <v>44942</v>
      </c>
      <c r="G26" s="14" cm="1">
        <f t="array" aca="1" ref="G26" ca="1">GetBusinessDate($F26,BusinessDayConv,IF(ISBLANK(HolidaySheet),HolidaySheet,INDIRECT("HolTbl"&amp;HolidaySheet&amp;"[Date]")))</f>
        <v>44943</v>
      </c>
      <c r="H26" s="56" t="str">
        <f ca="1">IF(OR(WEEKDAY($F26)=1,WEEKDAY($F26)=7),"Weekend",IFERROR(INDEX(INDIRECT("HolTbl"&amp;HolidaySheet&amp;"[Holiday]"),MATCH($F26,INDIRECT("HolTbl"&amp;HolidaySheet&amp;"[Date]"),0)),$G$10))</f>
        <v>Martin Luther King Jr. Day</v>
      </c>
      <c r="J26" s="13" t="s">
        <v>33</v>
      </c>
      <c r="K26" s="14" cm="1">
        <f t="array" ref="K26">AddTerm(RefDate,J26)</f>
        <v>45496</v>
      </c>
      <c r="L26" s="29" cm="1">
        <f t="array" aca="1" ref="L26" ca="1">GetBusinessDate($K26,BusinessDayConv2,IF(ISBLANK(HolidaySheet2),HolidaySheet2,INDIRECT("HolTbl"&amp;HolidaySheet2&amp;"[Date]")))</f>
        <v>45496</v>
      </c>
      <c r="M26" s="15" t="str">
        <f ca="1">IF(OR(WEEKDAY($K26)=1,WEEKDAY($K26)=7),"Weekend",IFERROR(INDEX(INDIRECT("HolTbl"&amp;HolidaySheet2&amp;"[Holiday]"),MATCH($K26,INDIRECT("HolTbl"&amp;HolidaySheet2&amp;"[Date]"),0)),$L$10))</f>
        <v>Good Business Date</v>
      </c>
    </row>
    <row r="27" spans="6:13" x14ac:dyDescent="0.25">
      <c r="F27" s="55">
        <f t="shared" si="0"/>
        <v>44943</v>
      </c>
      <c r="G27" s="14" cm="1">
        <f t="array" aca="1" ref="G27" ca="1">GetBusinessDate($F27,BusinessDayConv,IF(ISBLANK(HolidaySheet),HolidaySheet,INDIRECT("HolTbl"&amp;HolidaySheet&amp;"[Date]")))</f>
        <v>44943</v>
      </c>
      <c r="H27" s="56" t="str">
        <f ca="1">IF(OR(WEEKDAY($F27)=1,WEEKDAY($F27)=7),"Weekend",IFERROR(INDEX(INDIRECT("HolTbl"&amp;HolidaySheet&amp;"[Holiday]"),MATCH($F27,INDIRECT("HolTbl"&amp;HolidaySheet&amp;"[Date]"),0)),$G$10))</f>
        <v>Good Business Date</v>
      </c>
      <c r="J27" s="13" t="s">
        <v>34</v>
      </c>
      <c r="K27" s="14" cm="1">
        <f t="array" ref="K27">AddTerm(RefDate,J27)</f>
        <v>45527</v>
      </c>
      <c r="L27" s="29" cm="1">
        <f t="array" aca="1" ref="L27" ca="1">GetBusinessDate($K27,BusinessDayConv2,IF(ISBLANK(HolidaySheet2),HolidaySheet2,INDIRECT("HolTbl"&amp;HolidaySheet2&amp;"[Date]")))</f>
        <v>45527</v>
      </c>
      <c r="M27" s="15" t="str">
        <f ca="1">IF(OR(WEEKDAY($K27)=1,WEEKDAY($K27)=7),"Weekend",IFERROR(INDEX(INDIRECT("HolTbl"&amp;HolidaySheet2&amp;"[Holiday]"),MATCH($K27,INDIRECT("HolTbl"&amp;HolidaySheet2&amp;"[Date]"),0)),$L$10))</f>
        <v>Good Business Date</v>
      </c>
    </row>
    <row r="28" spans="6:13" x14ac:dyDescent="0.25">
      <c r="F28" s="55">
        <f t="shared" si="0"/>
        <v>44944</v>
      </c>
      <c r="G28" s="14" cm="1">
        <f t="array" aca="1" ref="G28" ca="1">GetBusinessDate($F28,BusinessDayConv,IF(ISBLANK(HolidaySheet),HolidaySheet,INDIRECT("HolTbl"&amp;HolidaySheet&amp;"[Date]")))</f>
        <v>44944</v>
      </c>
      <c r="H28" s="56" t="str">
        <f ca="1">IF(OR(WEEKDAY($F28)=1,WEEKDAY($F28)=7),"Weekend",IFERROR(INDEX(INDIRECT("HolTbl"&amp;HolidaySheet&amp;"[Holiday]"),MATCH($F28,INDIRECT("HolTbl"&amp;HolidaySheet&amp;"[Date]"),0)),$G$10))</f>
        <v>Good Business Date</v>
      </c>
      <c r="J28" s="13" t="s">
        <v>35</v>
      </c>
      <c r="K28" s="14" cm="1">
        <f t="array" ref="K28">AddTerm(RefDate,J28)</f>
        <v>45558</v>
      </c>
      <c r="L28" s="29" cm="1">
        <f t="array" aca="1" ref="L28" ca="1">GetBusinessDate($K28,BusinessDayConv2,IF(ISBLANK(HolidaySheet2),HolidaySheet2,INDIRECT("HolTbl"&amp;HolidaySheet2&amp;"[Date]")))</f>
        <v>45558</v>
      </c>
      <c r="M28" s="15" t="str">
        <f ca="1">IF(OR(WEEKDAY($K28)=1,WEEKDAY($K28)=7),"Weekend",IFERROR(INDEX(INDIRECT("HolTbl"&amp;HolidaySheet2&amp;"[Holiday]"),MATCH($K28,INDIRECT("HolTbl"&amp;HolidaySheet2&amp;"[Date]"),0)),$L$10))</f>
        <v>Good Business Date</v>
      </c>
    </row>
    <row r="29" spans="6:13" x14ac:dyDescent="0.25">
      <c r="F29" s="55">
        <f t="shared" si="0"/>
        <v>44945</v>
      </c>
      <c r="G29" s="14" cm="1">
        <f t="array" aca="1" ref="G29" ca="1">GetBusinessDate($F29,BusinessDayConv,IF(ISBLANK(HolidaySheet),HolidaySheet,INDIRECT("HolTbl"&amp;HolidaySheet&amp;"[Date]")))</f>
        <v>44945</v>
      </c>
      <c r="H29" s="56" t="str">
        <f ca="1">IF(OR(WEEKDAY($F29)=1,WEEKDAY($F29)=7),"Weekend",IFERROR(INDEX(INDIRECT("HolTbl"&amp;HolidaySheet&amp;"[Holiday]"),MATCH($F29,INDIRECT("HolTbl"&amp;HolidaySheet&amp;"[Date]"),0)),$G$10))</f>
        <v>Good Business Date</v>
      </c>
      <c r="J29" s="13" t="s">
        <v>36</v>
      </c>
      <c r="K29" s="14" cm="1">
        <f t="array" ref="K29">AddTerm(RefDate,J29)</f>
        <v>45588</v>
      </c>
      <c r="L29" s="29" cm="1">
        <f t="array" aca="1" ref="L29" ca="1">GetBusinessDate($K29,BusinessDayConv2,IF(ISBLANK(HolidaySheet2),HolidaySheet2,INDIRECT("HolTbl"&amp;HolidaySheet2&amp;"[Date]")))</f>
        <v>45588</v>
      </c>
      <c r="M29" s="15" t="str">
        <f ca="1">IF(OR(WEEKDAY($K29)=1,WEEKDAY($K29)=7),"Weekend",IFERROR(INDEX(INDIRECT("HolTbl"&amp;HolidaySheet2&amp;"[Holiday]"),MATCH($K29,INDIRECT("HolTbl"&amp;HolidaySheet2&amp;"[Date]"),0)),$L$10))</f>
        <v>Good Business Date</v>
      </c>
    </row>
    <row r="30" spans="6:13" x14ac:dyDescent="0.25">
      <c r="F30" s="55">
        <f t="shared" si="0"/>
        <v>44946</v>
      </c>
      <c r="G30" s="14" cm="1">
        <f t="array" aca="1" ref="G30" ca="1">GetBusinessDate($F30,BusinessDayConv,IF(ISBLANK(HolidaySheet),HolidaySheet,INDIRECT("HolTbl"&amp;HolidaySheet&amp;"[Date]")))</f>
        <v>44946</v>
      </c>
      <c r="H30" s="56" t="str">
        <f ca="1">IF(OR(WEEKDAY($F30)=1,WEEKDAY($F30)=7),"Weekend",IFERROR(INDEX(INDIRECT("HolTbl"&amp;HolidaySheet&amp;"[Holiday]"),MATCH($F30,INDIRECT("HolTbl"&amp;HolidaySheet&amp;"[Date]"),0)),$G$10))</f>
        <v>Good Business Date</v>
      </c>
      <c r="J30" s="13" t="s">
        <v>37</v>
      </c>
      <c r="K30" s="14" cm="1">
        <f t="array" ref="K30">AddTerm(RefDate,J30)</f>
        <v>45619</v>
      </c>
      <c r="L30" s="29" cm="1">
        <f t="array" aca="1" ref="L30" ca="1">GetBusinessDate($K30,BusinessDayConv2,IF(ISBLANK(HolidaySheet2),HolidaySheet2,INDIRECT("HolTbl"&amp;HolidaySheet2&amp;"[Date]")))</f>
        <v>45621</v>
      </c>
      <c r="M30" s="15" t="str">
        <f ca="1">IF(OR(WEEKDAY($K30)=1,WEEKDAY($K30)=7),"Weekend",IFERROR(INDEX(INDIRECT("HolTbl"&amp;HolidaySheet2&amp;"[Holiday]"),MATCH($K30,INDIRECT("HolTbl"&amp;HolidaySheet2&amp;"[Date]"),0)),$L$10))</f>
        <v>Weekend</v>
      </c>
    </row>
    <row r="31" spans="6:13" x14ac:dyDescent="0.25">
      <c r="F31" s="55">
        <f t="shared" si="0"/>
        <v>44947</v>
      </c>
      <c r="G31" s="14" cm="1">
        <f t="array" aca="1" ref="G31" ca="1">GetBusinessDate($F31,BusinessDayConv,IF(ISBLANK(HolidaySheet),HolidaySheet,INDIRECT("HolTbl"&amp;HolidaySheet&amp;"[Date]")))</f>
        <v>44949</v>
      </c>
      <c r="H31" s="56" t="str">
        <f ca="1">IF(OR(WEEKDAY($F31)=1,WEEKDAY($F31)=7),"Weekend",IFERROR(INDEX(INDIRECT("HolTbl"&amp;HolidaySheet&amp;"[Holiday]"),MATCH($F31,INDIRECT("HolTbl"&amp;HolidaySheet&amp;"[Date]"),0)),$G$10))</f>
        <v>Weekend</v>
      </c>
      <c r="J31" s="13" t="s">
        <v>38</v>
      </c>
      <c r="K31" s="14" cm="1">
        <f t="array" ref="K31">AddTerm(RefDate,J31)</f>
        <v>45800</v>
      </c>
      <c r="L31" s="29" cm="1">
        <f t="array" aca="1" ref="L31" ca="1">GetBusinessDate($K31,BusinessDayConv2,IF(ISBLANK(HolidaySheet2),HolidaySheet2,INDIRECT("HolTbl"&amp;HolidaySheet2&amp;"[Date]")))</f>
        <v>45800</v>
      </c>
      <c r="M31" s="15" t="str">
        <f ca="1">IF(OR(WEEKDAY($K31)=1,WEEKDAY($K31)=7),"Weekend",IFERROR(INDEX(INDIRECT("HolTbl"&amp;HolidaySheet2&amp;"[Holiday]"),MATCH($K31,INDIRECT("HolTbl"&amp;HolidaySheet2&amp;"[Date]"),0)),$L$10))</f>
        <v>Good Business Date</v>
      </c>
    </row>
    <row r="32" spans="6:13" x14ac:dyDescent="0.25">
      <c r="F32" s="55">
        <f t="shared" si="0"/>
        <v>44948</v>
      </c>
      <c r="G32" s="14" cm="1">
        <f t="array" aca="1" ref="G32" ca="1">GetBusinessDate($F32,BusinessDayConv,IF(ISBLANK(HolidaySheet),HolidaySheet,INDIRECT("HolTbl"&amp;HolidaySheet&amp;"[Date]")))</f>
        <v>44949</v>
      </c>
      <c r="H32" s="56" t="str">
        <f ca="1">IF(OR(WEEKDAY($F32)=1,WEEKDAY($F32)=7),"Weekend",IFERROR(INDEX(INDIRECT("HolTbl"&amp;HolidaySheet&amp;"[Holiday]"),MATCH($F32,INDIRECT("HolTbl"&amp;HolidaySheet&amp;"[Date]"),0)),$G$10))</f>
        <v>Weekend</v>
      </c>
      <c r="J32" s="13" t="s">
        <v>39</v>
      </c>
      <c r="K32" s="14" cm="1">
        <f t="array" ref="K32">AddTerm(RefDate,J32)</f>
        <v>45984</v>
      </c>
      <c r="L32" s="29" cm="1">
        <f t="array" aca="1" ref="L32" ca="1">GetBusinessDate($K32,BusinessDayConv2,IF(ISBLANK(HolidaySheet2),HolidaySheet2,INDIRECT("HolTbl"&amp;HolidaySheet2&amp;"[Date]")))</f>
        <v>45985</v>
      </c>
      <c r="M32" s="15" t="str">
        <f ca="1">IF(OR(WEEKDAY($K32)=1,WEEKDAY($K32)=7),"Weekend",IFERROR(INDEX(INDIRECT("HolTbl"&amp;HolidaySheet2&amp;"[Holiday]"),MATCH($K32,INDIRECT("HolTbl"&amp;HolidaySheet2&amp;"[Date]"),0)),$L$10))</f>
        <v>Weekend</v>
      </c>
    </row>
    <row r="33" spans="6:13" x14ac:dyDescent="0.25">
      <c r="F33" s="55">
        <f t="shared" si="0"/>
        <v>44949</v>
      </c>
      <c r="G33" s="14" cm="1">
        <f t="array" aca="1" ref="G33" ca="1">GetBusinessDate($F33,BusinessDayConv,IF(ISBLANK(HolidaySheet),HolidaySheet,INDIRECT("HolTbl"&amp;HolidaySheet&amp;"[Date]")))</f>
        <v>44949</v>
      </c>
      <c r="H33" s="56" t="str">
        <f ca="1">IF(OR(WEEKDAY($F33)=1,WEEKDAY($F33)=7),"Weekend",IFERROR(INDEX(INDIRECT("HolTbl"&amp;HolidaySheet&amp;"[Holiday]"),MATCH($F33,INDIRECT("HolTbl"&amp;HolidaySheet&amp;"[Date]"),0)),$G$10))</f>
        <v>Good Business Date</v>
      </c>
      <c r="J33" s="13" t="s">
        <v>40</v>
      </c>
      <c r="K33" s="14" cm="1">
        <f t="array" ref="K33">AddTerm(RefDate,J33)</f>
        <v>46349</v>
      </c>
      <c r="L33" s="29" cm="1">
        <f t="array" aca="1" ref="L33" ca="1">GetBusinessDate($K33,BusinessDayConv2,IF(ISBLANK(HolidaySheet2),HolidaySheet2,INDIRECT("HolTbl"&amp;HolidaySheet2&amp;"[Date]")))</f>
        <v>46349</v>
      </c>
      <c r="M33" s="15" t="str">
        <f ca="1">IF(OR(WEEKDAY($K33)=1,WEEKDAY($K33)=7),"Weekend",IFERROR(INDEX(INDIRECT("HolTbl"&amp;HolidaySheet2&amp;"[Holiday]"),MATCH($K33,INDIRECT("HolTbl"&amp;HolidaySheet2&amp;"[Date]"),0)),$L$10))</f>
        <v>Good Business Date</v>
      </c>
    </row>
    <row r="34" spans="6:13" x14ac:dyDescent="0.25">
      <c r="F34" s="55">
        <f t="shared" si="0"/>
        <v>44950</v>
      </c>
      <c r="G34" s="14" cm="1">
        <f t="array" aca="1" ref="G34" ca="1">GetBusinessDate($F34,BusinessDayConv,IF(ISBLANK(HolidaySheet),HolidaySheet,INDIRECT("HolTbl"&amp;HolidaySheet&amp;"[Date]")))</f>
        <v>44950</v>
      </c>
      <c r="H34" s="56" t="str">
        <f ca="1">IF(OR(WEEKDAY($F34)=1,WEEKDAY($F34)=7),"Weekend",IFERROR(INDEX(INDIRECT("HolTbl"&amp;HolidaySheet&amp;"[Holiday]"),MATCH($F34,INDIRECT("HolTbl"&amp;HolidaySheet&amp;"[Date]"),0)),$G$10))</f>
        <v>Good Business Date</v>
      </c>
      <c r="J34" s="13" t="s">
        <v>41</v>
      </c>
      <c r="K34" s="14" cm="1">
        <f t="array" ref="K34">AddTerm(RefDate,J34)</f>
        <v>46714</v>
      </c>
      <c r="L34" s="29" cm="1">
        <f t="array" aca="1" ref="L34" ca="1">GetBusinessDate($K34,BusinessDayConv2,IF(ISBLANK(HolidaySheet2),HolidaySheet2,INDIRECT("HolTbl"&amp;HolidaySheet2&amp;"[Date]")))</f>
        <v>46714</v>
      </c>
      <c r="M34" s="15" t="str">
        <f ca="1">IF(OR(WEEKDAY($K34)=1,WEEKDAY($K34)=7),"Weekend",IFERROR(INDEX(INDIRECT("HolTbl"&amp;HolidaySheet2&amp;"[Holiday]"),MATCH($K34,INDIRECT("HolTbl"&amp;HolidaySheet2&amp;"[Date]"),0)),$L$10))</f>
        <v>Good Business Date</v>
      </c>
    </row>
    <row r="35" spans="6:13" x14ac:dyDescent="0.25">
      <c r="F35" s="55">
        <f t="shared" si="0"/>
        <v>44951</v>
      </c>
      <c r="G35" s="14" cm="1">
        <f t="array" aca="1" ref="G35" ca="1">GetBusinessDate($F35,BusinessDayConv,IF(ISBLANK(HolidaySheet),HolidaySheet,INDIRECT("HolTbl"&amp;HolidaySheet&amp;"[Date]")))</f>
        <v>44951</v>
      </c>
      <c r="H35" s="56" t="str">
        <f ca="1">IF(OR(WEEKDAY($F35)=1,WEEKDAY($F35)=7),"Weekend",IFERROR(INDEX(INDIRECT("HolTbl"&amp;HolidaySheet&amp;"[Holiday]"),MATCH($F35,INDIRECT("HolTbl"&amp;HolidaySheet&amp;"[Date]"),0)),$G$10))</f>
        <v>Good Business Date</v>
      </c>
      <c r="J35" s="13" t="s">
        <v>42</v>
      </c>
      <c r="K35" s="14" cm="1">
        <f t="array" ref="K35">AddTerm(RefDate,J35)</f>
        <v>47080</v>
      </c>
      <c r="L35" s="29" cm="1">
        <f t="array" aca="1" ref="L35" ca="1">GetBusinessDate($K35,BusinessDayConv2,IF(ISBLANK(HolidaySheet2),HolidaySheet2,INDIRECT("HolTbl"&amp;HolidaySheet2&amp;"[Date]")))</f>
        <v>47081</v>
      </c>
      <c r="M35" s="15" t="str">
        <f ca="1">IF(OR(WEEKDAY($K35)=1,WEEKDAY($K35)=7),"Weekend",IFERROR(INDEX(INDIRECT("HolTbl"&amp;HolidaySheet2&amp;"[Holiday]"),MATCH($K35,INDIRECT("HolTbl"&amp;HolidaySheet2&amp;"[Date]"),0)),$L$10))</f>
        <v>Thanksgiving Day</v>
      </c>
    </row>
    <row r="36" spans="6:13" x14ac:dyDescent="0.25">
      <c r="F36" s="55">
        <f t="shared" si="0"/>
        <v>44952</v>
      </c>
      <c r="G36" s="14" cm="1">
        <f t="array" aca="1" ref="G36" ca="1">GetBusinessDate($F36,BusinessDayConv,IF(ISBLANK(HolidaySheet),HolidaySheet,INDIRECT("HolTbl"&amp;HolidaySheet&amp;"[Date]")))</f>
        <v>44952</v>
      </c>
      <c r="H36" s="56" t="str">
        <f ca="1">IF(OR(WEEKDAY($F36)=1,WEEKDAY($F36)=7),"Weekend",IFERROR(INDEX(INDIRECT("HolTbl"&amp;HolidaySheet&amp;"[Holiday]"),MATCH($F36,INDIRECT("HolTbl"&amp;HolidaySheet&amp;"[Date]"),0)),$G$10))</f>
        <v>Good Business Date</v>
      </c>
      <c r="J36" s="13" t="s">
        <v>43</v>
      </c>
      <c r="K36" s="14" cm="1">
        <f t="array" ref="K36">AddTerm(RefDate,J36)</f>
        <v>47445</v>
      </c>
      <c r="L36" s="29" cm="1">
        <f t="array" aca="1" ref="L36" ca="1">GetBusinessDate($K36,BusinessDayConv2,IF(ISBLANK(HolidaySheet2),HolidaySheet2,INDIRECT("HolTbl"&amp;HolidaySheet2&amp;"[Date]")))</f>
        <v>47445</v>
      </c>
      <c r="M36" s="15" t="str">
        <f ca="1">IF(OR(WEEKDAY($K36)=1,WEEKDAY($K36)=7),"Weekend",IFERROR(INDEX(INDIRECT("HolTbl"&amp;HolidaySheet2&amp;"[Holiday]"),MATCH($K36,INDIRECT("HolTbl"&amp;HolidaySheet2&amp;"[Date]"),0)),$L$10))</f>
        <v>Good Business Date</v>
      </c>
    </row>
    <row r="37" spans="6:13" x14ac:dyDescent="0.25">
      <c r="F37" s="55">
        <f t="shared" si="0"/>
        <v>44953</v>
      </c>
      <c r="G37" s="14" cm="1">
        <f t="array" aca="1" ref="G37" ca="1">GetBusinessDate($F37,BusinessDayConv,IF(ISBLANK(HolidaySheet),HolidaySheet,INDIRECT("HolTbl"&amp;HolidaySheet&amp;"[Date]")))</f>
        <v>44953</v>
      </c>
      <c r="H37" s="56" t="str">
        <f ca="1">IF(OR(WEEKDAY($F37)=1,WEEKDAY($F37)=7),"Weekend",IFERROR(INDEX(INDIRECT("HolTbl"&amp;HolidaySheet&amp;"[Holiday]"),MATCH($F37,INDIRECT("HolTbl"&amp;HolidaySheet&amp;"[Date]"),0)),$G$10))</f>
        <v>Good Business Date</v>
      </c>
      <c r="J37" s="13" t="s">
        <v>44</v>
      </c>
      <c r="K37" s="14" cm="1">
        <f t="array" ref="K37">AddTerm(RefDate,J37)</f>
        <v>47810</v>
      </c>
      <c r="L37" s="29" cm="1">
        <f t="array" aca="1" ref="L37" ca="1">GetBusinessDate($K37,BusinessDayConv2,IF(ISBLANK(HolidaySheet2),HolidaySheet2,INDIRECT("HolTbl"&amp;HolidaySheet2&amp;"[Date]")))</f>
        <v>47812</v>
      </c>
      <c r="M37" s="15" t="str">
        <f ca="1">IF(OR(WEEKDAY($K37)=1,WEEKDAY($K37)=7),"Weekend",IFERROR(INDEX(INDIRECT("HolTbl"&amp;HolidaySheet2&amp;"[Holiday]"),MATCH($K37,INDIRECT("HolTbl"&amp;HolidaySheet2&amp;"[Date]"),0)),$L$10))</f>
        <v>Weekend</v>
      </c>
    </row>
    <row r="38" spans="6:13" x14ac:dyDescent="0.25">
      <c r="F38" s="55">
        <f t="shared" si="0"/>
        <v>44954</v>
      </c>
      <c r="G38" s="14" cm="1">
        <f t="array" aca="1" ref="G38" ca="1">GetBusinessDate($F38,BusinessDayConv,IF(ISBLANK(HolidaySheet),HolidaySheet,INDIRECT("HolTbl"&amp;HolidaySheet&amp;"[Date]")))</f>
        <v>44956</v>
      </c>
      <c r="H38" s="56" t="str">
        <f ca="1">IF(OR(WEEKDAY($F38)=1,WEEKDAY($F38)=7),"Weekend",IFERROR(INDEX(INDIRECT("HolTbl"&amp;HolidaySheet&amp;"[Holiday]"),MATCH($F38,INDIRECT("HolTbl"&amp;HolidaySheet&amp;"[Date]"),0)),$G$10))</f>
        <v>Weekend</v>
      </c>
      <c r="J38" s="13" t="s">
        <v>45</v>
      </c>
      <c r="K38" s="14" cm="1">
        <f t="array" ref="K38">AddTerm(RefDate,J38)</f>
        <v>48175</v>
      </c>
      <c r="L38" s="29" cm="1">
        <f t="array" aca="1" ref="L38" ca="1">GetBusinessDate($K38,BusinessDayConv2,IF(ISBLANK(HolidaySheet2),HolidaySheet2,INDIRECT("HolTbl"&amp;HolidaySheet2&amp;"[Date]")))</f>
        <v>48176</v>
      </c>
      <c r="M38" s="15" t="str">
        <f ca="1">IF(OR(WEEKDAY($K38)=1,WEEKDAY($K38)=7),"Weekend",IFERROR(INDEX(INDIRECT("HolTbl"&amp;HolidaySheet2&amp;"[Holiday]"),MATCH($K38,INDIRECT("HolTbl"&amp;HolidaySheet2&amp;"[Date]"),0)),$L$10))</f>
        <v>Weekend</v>
      </c>
    </row>
    <row r="39" spans="6:13" x14ac:dyDescent="0.25">
      <c r="F39" s="55">
        <f t="shared" si="0"/>
        <v>44955</v>
      </c>
      <c r="G39" s="14" cm="1">
        <f t="array" aca="1" ref="G39" ca="1">GetBusinessDate($F39,BusinessDayConv,IF(ISBLANK(HolidaySheet),HolidaySheet,INDIRECT("HolTbl"&amp;HolidaySheet&amp;"[Date]")))</f>
        <v>44956</v>
      </c>
      <c r="H39" s="56" t="str">
        <f ca="1">IF(OR(WEEKDAY($F39)=1,WEEKDAY($F39)=7),"Weekend",IFERROR(INDEX(INDIRECT("HolTbl"&amp;HolidaySheet&amp;"[Holiday]"),MATCH($F39,INDIRECT("HolTbl"&amp;HolidaySheet&amp;"[Date]"),0)),$G$10))</f>
        <v>Weekend</v>
      </c>
      <c r="J39" s="13" t="s">
        <v>46</v>
      </c>
      <c r="K39" s="14" cm="1">
        <f t="array" ref="K39">AddTerm(RefDate,J39)</f>
        <v>48541</v>
      </c>
      <c r="L39" s="29" cm="1">
        <f t="array" aca="1" ref="L39" ca="1">GetBusinessDate($K39,BusinessDayConv2,IF(ISBLANK(HolidaySheet2),HolidaySheet2,INDIRECT("HolTbl"&amp;HolidaySheet2&amp;"[Date]")))</f>
        <v>48541</v>
      </c>
      <c r="M39" s="15" t="str">
        <f ca="1">IF(OR(WEEKDAY($K39)=1,WEEKDAY($K39)=7),"Weekend",IFERROR(INDEX(INDIRECT("HolTbl"&amp;HolidaySheet2&amp;"[Holiday]"),MATCH($K39,INDIRECT("HolTbl"&amp;HolidaySheet2&amp;"[Date]"),0)),$L$10))</f>
        <v>Good Business Date</v>
      </c>
    </row>
    <row r="40" spans="6:13" x14ac:dyDescent="0.25">
      <c r="F40" s="55">
        <f t="shared" si="0"/>
        <v>44956</v>
      </c>
      <c r="G40" s="14" cm="1">
        <f t="array" aca="1" ref="G40" ca="1">GetBusinessDate($F40,BusinessDayConv,IF(ISBLANK(HolidaySheet),HolidaySheet,INDIRECT("HolTbl"&amp;HolidaySheet&amp;"[Date]")))</f>
        <v>44956</v>
      </c>
      <c r="H40" s="56" t="str">
        <f ca="1">IF(OR(WEEKDAY($F40)=1,WEEKDAY($F40)=7),"Weekend",IFERROR(INDEX(INDIRECT("HolTbl"&amp;HolidaySheet&amp;"[Holiday]"),MATCH($F40,INDIRECT("HolTbl"&amp;HolidaySheet&amp;"[Date]"),0)),$G$10))</f>
        <v>Good Business Date</v>
      </c>
      <c r="J40" s="13" t="s">
        <v>47</v>
      </c>
      <c r="K40" s="14" cm="1">
        <f t="array" ref="K40">AddTerm(RefDate,J40)</f>
        <v>48906</v>
      </c>
      <c r="L40" s="29" cm="1">
        <f t="array" aca="1" ref="L40" ca="1">GetBusinessDate($K40,BusinessDayConv2,IF(ISBLANK(HolidaySheet2),HolidaySheet2,INDIRECT("HolTbl"&amp;HolidaySheet2&amp;"[Date]")))</f>
        <v>48906</v>
      </c>
      <c r="M40" s="15" t="str">
        <f ca="1">IF(OR(WEEKDAY($K40)=1,WEEKDAY($K40)=7),"Weekend",IFERROR(INDEX(INDIRECT("HolTbl"&amp;HolidaySheet2&amp;"[Holiday]"),MATCH($K40,INDIRECT("HolTbl"&amp;HolidaySheet2&amp;"[Date]"),0)),$L$10))</f>
        <v>Good Business Date</v>
      </c>
    </row>
    <row r="41" spans="6:13" x14ac:dyDescent="0.25">
      <c r="F41" s="55">
        <f t="shared" si="0"/>
        <v>44957</v>
      </c>
      <c r="G41" s="14" cm="1">
        <f t="array" aca="1" ref="G41" ca="1">GetBusinessDate($F41,BusinessDayConv,IF(ISBLANK(HolidaySheet),HolidaySheet,INDIRECT("HolTbl"&amp;HolidaySheet&amp;"[Date]")))</f>
        <v>44957</v>
      </c>
      <c r="H41" s="56" t="str">
        <f ca="1">IF(OR(WEEKDAY($F41)=1,WEEKDAY($F41)=7),"Weekend",IFERROR(INDEX(INDIRECT("HolTbl"&amp;HolidaySheet&amp;"[Holiday]"),MATCH($F41,INDIRECT("HolTbl"&amp;HolidaySheet&amp;"[Date]"),0)),$G$10))</f>
        <v>Good Business Date</v>
      </c>
      <c r="J41" s="13" t="s">
        <v>48</v>
      </c>
      <c r="K41" s="14" cm="1">
        <f t="array" ref="K41">AddTerm(RefDate,J41)</f>
        <v>49271</v>
      </c>
      <c r="L41" s="29" cm="1">
        <f t="array" aca="1" ref="L41" ca="1">GetBusinessDate($K41,BusinessDayConv2,IF(ISBLANK(HolidaySheet2),HolidaySheet2,INDIRECT("HolTbl"&amp;HolidaySheet2&amp;"[Date]")))</f>
        <v>49272</v>
      </c>
      <c r="M41" s="15" t="str">
        <f ca="1">IF(OR(WEEKDAY($K41)=1,WEEKDAY($K41)=7),"Weekend",IFERROR(INDEX(INDIRECT("HolTbl"&amp;HolidaySheet2&amp;"[Holiday]"),MATCH($K41,INDIRECT("HolTbl"&amp;HolidaySheet2&amp;"[Date]"),0)),$L$10))</f>
        <v>Thanksgiving Day</v>
      </c>
    </row>
    <row r="42" spans="6:13" x14ac:dyDescent="0.25">
      <c r="F42" s="55">
        <f t="shared" si="0"/>
        <v>44958</v>
      </c>
      <c r="G42" s="14" cm="1">
        <f t="array" aca="1" ref="G42" ca="1">GetBusinessDate($F42,BusinessDayConv,IF(ISBLANK(HolidaySheet),HolidaySheet,INDIRECT("HolTbl"&amp;HolidaySheet&amp;"[Date]")))</f>
        <v>44958</v>
      </c>
      <c r="H42" s="56" t="str">
        <f ca="1">IF(OR(WEEKDAY($F42)=1,WEEKDAY($F42)=7),"Weekend",IFERROR(INDEX(INDIRECT("HolTbl"&amp;HolidaySheet&amp;"[Holiday]"),MATCH($F42,INDIRECT("HolTbl"&amp;HolidaySheet&amp;"[Date]"),0)),$G$10))</f>
        <v>Good Business Date</v>
      </c>
      <c r="J42" s="13" t="s">
        <v>49</v>
      </c>
      <c r="K42" s="14" cm="1">
        <f t="array" ref="K42">AddTerm(RefDate,J42)</f>
        <v>49636</v>
      </c>
      <c r="L42" s="29" cm="1">
        <f t="array" aca="1" ref="L42" ca="1">GetBusinessDate($K42,BusinessDayConv2,IF(ISBLANK(HolidaySheet2),HolidaySheet2,INDIRECT("HolTbl"&amp;HolidaySheet2&amp;"[Date]")))</f>
        <v>49636</v>
      </c>
      <c r="M42" s="15" t="str">
        <f ca="1">IF(OR(WEEKDAY($K42)=1,WEEKDAY($K42)=7),"Weekend",IFERROR(INDEX(INDIRECT("HolTbl"&amp;HolidaySheet2&amp;"[Holiday]"),MATCH($K42,INDIRECT("HolTbl"&amp;HolidaySheet2&amp;"[Date]"),0)),$L$10))</f>
        <v>Good Business Date</v>
      </c>
    </row>
    <row r="43" spans="6:13" x14ac:dyDescent="0.25">
      <c r="F43" s="55">
        <f t="shared" si="0"/>
        <v>44959</v>
      </c>
      <c r="G43" s="14" cm="1">
        <f t="array" aca="1" ref="G43" ca="1">GetBusinessDate($F43,BusinessDayConv,IF(ISBLANK(HolidaySheet),HolidaySheet,INDIRECT("HolTbl"&amp;HolidaySheet&amp;"[Date]")))</f>
        <v>44959</v>
      </c>
      <c r="H43" s="56" t="str">
        <f ca="1">IF(OR(WEEKDAY($F43)=1,WEEKDAY($F43)=7),"Weekend",IFERROR(INDEX(INDIRECT("HolTbl"&amp;HolidaySheet&amp;"[Holiday]"),MATCH($F43,INDIRECT("HolTbl"&amp;HolidaySheet&amp;"[Date]"),0)),$G$10))</f>
        <v>Good Business Date</v>
      </c>
      <c r="J43" s="13" t="s">
        <v>50</v>
      </c>
      <c r="K43" s="14" cm="1">
        <f t="array" ref="K43">AddTerm(RefDate,J43)</f>
        <v>50002</v>
      </c>
      <c r="L43" s="29" cm="1">
        <f t="array" aca="1" ref="L43" ca="1">GetBusinessDate($K43,BusinessDayConv2,IF(ISBLANK(HolidaySheet2),HolidaySheet2,INDIRECT("HolTbl"&amp;HolidaySheet2&amp;"[Date]")))</f>
        <v>50003</v>
      </c>
      <c r="M43" s="15" t="str">
        <f ca="1">IF(OR(WEEKDAY($K43)=1,WEEKDAY($K43)=7),"Weekend",IFERROR(INDEX(INDIRECT("HolTbl"&amp;HolidaySheet2&amp;"[Holiday]"),MATCH($K43,INDIRECT("HolTbl"&amp;HolidaySheet2&amp;"[Date]"),0)),$L$10))</f>
        <v>Weekend</v>
      </c>
    </row>
    <row r="44" spans="6:13" x14ac:dyDescent="0.25">
      <c r="F44" s="55">
        <f t="shared" si="0"/>
        <v>44960</v>
      </c>
      <c r="G44" s="14" cm="1">
        <f t="array" aca="1" ref="G44" ca="1">GetBusinessDate($F44,BusinessDayConv,IF(ISBLANK(HolidaySheet),HolidaySheet,INDIRECT("HolTbl"&amp;HolidaySheet&amp;"[Date]")))</f>
        <v>44960</v>
      </c>
      <c r="H44" s="56" t="str">
        <f ca="1">IF(OR(WEEKDAY($F44)=1,WEEKDAY($F44)=7),"Weekend",IFERROR(INDEX(INDIRECT("HolTbl"&amp;HolidaySheet&amp;"[Holiday]"),MATCH($F44,INDIRECT("HolTbl"&amp;HolidaySheet&amp;"[Date]"),0)),$G$10))</f>
        <v>Good Business Date</v>
      </c>
      <c r="J44" s="13" t="s">
        <v>51</v>
      </c>
      <c r="K44" s="14" cm="1">
        <f t="array" ref="K44">AddTerm(RefDate,J44)</f>
        <v>50367</v>
      </c>
      <c r="L44" s="29" cm="1">
        <f t="array" aca="1" ref="L44" ca="1">GetBusinessDate($K44,BusinessDayConv2,IF(ISBLANK(HolidaySheet2),HolidaySheet2,INDIRECT("HolTbl"&amp;HolidaySheet2&amp;"[Date]")))</f>
        <v>50367</v>
      </c>
      <c r="M44" s="15" t="str">
        <f ca="1">IF(OR(WEEKDAY($K44)=1,WEEKDAY($K44)=7),"Weekend",IFERROR(INDEX(INDIRECT("HolTbl"&amp;HolidaySheet2&amp;"[Holiday]"),MATCH($K44,INDIRECT("HolTbl"&amp;HolidaySheet2&amp;"[Date]"),0)),$L$10))</f>
        <v>Good Business Date</v>
      </c>
    </row>
    <row r="45" spans="6:13" x14ac:dyDescent="0.25">
      <c r="F45" s="55">
        <f t="shared" si="0"/>
        <v>44961</v>
      </c>
      <c r="G45" s="14" cm="1">
        <f t="array" aca="1" ref="G45" ca="1">GetBusinessDate($F45,BusinessDayConv,IF(ISBLANK(HolidaySheet),HolidaySheet,INDIRECT("HolTbl"&amp;HolidaySheet&amp;"[Date]")))</f>
        <v>44963</v>
      </c>
      <c r="H45" s="56" t="str">
        <f ca="1">IF(OR(WEEKDAY($F45)=1,WEEKDAY($F45)=7),"Weekend",IFERROR(INDEX(INDIRECT("HolTbl"&amp;HolidaySheet&amp;"[Holiday]"),MATCH($F45,INDIRECT("HolTbl"&amp;HolidaySheet&amp;"[Date]"),0)),$G$10))</f>
        <v>Weekend</v>
      </c>
      <c r="J45" s="13" t="s">
        <v>52</v>
      </c>
      <c r="K45" s="14" cm="1">
        <f t="array" ref="K45">AddTerm(RefDate,J45)</f>
        <v>50732</v>
      </c>
      <c r="L45" s="29" cm="1">
        <f t="array" aca="1" ref="L45" ca="1">GetBusinessDate($K45,BusinessDayConv2,IF(ISBLANK(HolidaySheet2),HolidaySheet2,INDIRECT("HolTbl"&amp;HolidaySheet2&amp;"[Date]")))</f>
        <v>50732</v>
      </c>
      <c r="M45" s="15" t="str">
        <f ca="1">IF(OR(WEEKDAY($K45)=1,WEEKDAY($K45)=7),"Weekend",IFERROR(INDEX(INDIRECT("HolTbl"&amp;HolidaySheet2&amp;"[Holiday]"),MATCH($K45,INDIRECT("HolTbl"&amp;HolidaySheet2&amp;"[Date]"),0)),$L$10))</f>
        <v>Good Business Date</v>
      </c>
    </row>
    <row r="46" spans="6:13" x14ac:dyDescent="0.25">
      <c r="F46" s="55">
        <f t="shared" si="0"/>
        <v>44962</v>
      </c>
      <c r="G46" s="14" cm="1">
        <f t="array" aca="1" ref="G46" ca="1">GetBusinessDate($F46,BusinessDayConv,IF(ISBLANK(HolidaySheet),HolidaySheet,INDIRECT("HolTbl"&amp;HolidaySheet&amp;"[Date]")))</f>
        <v>44963</v>
      </c>
      <c r="H46" s="56" t="str">
        <f ca="1">IF(OR(WEEKDAY($F46)=1,WEEKDAY($F46)=7),"Weekend",IFERROR(INDEX(INDIRECT("HolTbl"&amp;HolidaySheet&amp;"[Holiday]"),MATCH($F46,INDIRECT("HolTbl"&amp;HolidaySheet&amp;"[Date]"),0)),$G$10))</f>
        <v>Weekend</v>
      </c>
      <c r="J46" s="13" t="s">
        <v>53</v>
      </c>
      <c r="K46" s="14" cm="1">
        <f t="array" ref="K46">AddTerm(RefDate,J46)</f>
        <v>51097</v>
      </c>
      <c r="L46" s="29" cm="1">
        <f t="array" aca="1" ref="L46" ca="1">GetBusinessDate($K46,BusinessDayConv2,IF(ISBLANK(HolidaySheet2),HolidaySheet2,INDIRECT("HolTbl"&amp;HolidaySheet2&amp;"[Date]")))</f>
        <v>51097</v>
      </c>
      <c r="M46" s="15" t="str">
        <f ca="1">IF(OR(WEEKDAY($K46)=1,WEEKDAY($K46)=7),"Weekend",IFERROR(INDEX(INDIRECT("HolTbl"&amp;HolidaySheet2&amp;"[Holiday]"),MATCH($K46,INDIRECT("HolTbl"&amp;HolidaySheet2&amp;"[Date]"),0)),$L$10))</f>
        <v>Good Business Date</v>
      </c>
    </row>
    <row r="47" spans="6:13" x14ac:dyDescent="0.25">
      <c r="F47" s="55">
        <f t="shared" si="0"/>
        <v>44963</v>
      </c>
      <c r="G47" s="14" cm="1">
        <f t="array" aca="1" ref="G47" ca="1">GetBusinessDate($F47,BusinessDayConv,IF(ISBLANK(HolidaySheet),HolidaySheet,INDIRECT("HolTbl"&amp;HolidaySheet&amp;"[Date]")))</f>
        <v>44963</v>
      </c>
      <c r="H47" s="56" t="str">
        <f ca="1">IF(OR(WEEKDAY($F47)=1,WEEKDAY($F47)=7),"Weekend",IFERROR(INDEX(INDIRECT("HolTbl"&amp;HolidaySheet&amp;"[Holiday]"),MATCH($F47,INDIRECT("HolTbl"&amp;HolidaySheet&amp;"[Date]"),0)),$G$10))</f>
        <v>Good Business Date</v>
      </c>
      <c r="J47" s="13" t="s">
        <v>54</v>
      </c>
      <c r="K47" s="14" cm="1">
        <f t="array" ref="K47">AddTerm(RefDate,J47)</f>
        <v>51463</v>
      </c>
      <c r="L47" s="29" cm="1">
        <f t="array" aca="1" ref="L47" ca="1">GetBusinessDate($K47,BusinessDayConv2,IF(ISBLANK(HolidaySheet2),HolidaySheet2,INDIRECT("HolTbl"&amp;HolidaySheet2&amp;"[Date]")))</f>
        <v>51463</v>
      </c>
      <c r="M47" s="15" t="str">
        <f ca="1">IF(OR(WEEKDAY($K47)=1,WEEKDAY($K47)=7),"Weekend",IFERROR(INDEX(INDIRECT("HolTbl"&amp;HolidaySheet2&amp;"[Holiday]"),MATCH($K47,INDIRECT("HolTbl"&amp;HolidaySheet2&amp;"[Date]"),0)),$L$10))</f>
        <v>Good Business Date</v>
      </c>
    </row>
    <row r="48" spans="6:13" x14ac:dyDescent="0.25">
      <c r="F48" s="55">
        <f t="shared" si="0"/>
        <v>44964</v>
      </c>
      <c r="G48" s="14" cm="1">
        <f t="array" aca="1" ref="G48" ca="1">GetBusinessDate($F48,BusinessDayConv,IF(ISBLANK(HolidaySheet),HolidaySheet,INDIRECT("HolTbl"&amp;HolidaySheet&amp;"[Date]")))</f>
        <v>44964</v>
      </c>
      <c r="H48" s="56" t="str">
        <f ca="1">IF(OR(WEEKDAY($F48)=1,WEEKDAY($F48)=7),"Weekend",IFERROR(INDEX(INDIRECT("HolTbl"&amp;HolidaySheet&amp;"[Holiday]"),MATCH($F48,INDIRECT("HolTbl"&amp;HolidaySheet&amp;"[Date]"),0)),$G$10))</f>
        <v>Good Business Date</v>
      </c>
      <c r="J48" s="13" t="s">
        <v>55</v>
      </c>
      <c r="K48" s="14" cm="1">
        <f t="array" ref="K48">AddTerm(RefDate,J48)</f>
        <v>51828</v>
      </c>
      <c r="L48" s="29" cm="1">
        <f t="array" aca="1" ref="L48" ca="1">GetBusinessDate($K48,BusinessDayConv2,IF(ISBLANK(HolidaySheet2),HolidaySheet2,INDIRECT("HolTbl"&amp;HolidaySheet2&amp;"[Date]")))</f>
        <v>51830</v>
      </c>
      <c r="M48" s="15" t="str">
        <f ca="1">IF(OR(WEEKDAY($K48)=1,WEEKDAY($K48)=7),"Weekend",IFERROR(INDEX(INDIRECT("HolTbl"&amp;HolidaySheet2&amp;"[Holiday]"),MATCH($K48,INDIRECT("HolTbl"&amp;HolidaySheet2&amp;"[Date]"),0)),$L$10))</f>
        <v>Weekend</v>
      </c>
    </row>
    <row r="49" spans="6:13" x14ac:dyDescent="0.25">
      <c r="F49" s="55">
        <f t="shared" si="0"/>
        <v>44965</v>
      </c>
      <c r="G49" s="14" cm="1">
        <f t="array" aca="1" ref="G49" ca="1">GetBusinessDate($F49,BusinessDayConv,IF(ISBLANK(HolidaySheet),HolidaySheet,INDIRECT("HolTbl"&amp;HolidaySheet&amp;"[Date]")))</f>
        <v>44965</v>
      </c>
      <c r="H49" s="56" t="str">
        <f ca="1">IF(OR(WEEKDAY($F49)=1,WEEKDAY($F49)=7),"Weekend",IFERROR(INDEX(INDIRECT("HolTbl"&amp;HolidaySheet&amp;"[Holiday]"),MATCH($F49,INDIRECT("HolTbl"&amp;HolidaySheet&amp;"[Date]"),0)),$G$10))</f>
        <v>Good Business Date</v>
      </c>
      <c r="J49" s="13" t="s">
        <v>56</v>
      </c>
      <c r="K49" s="14" cm="1">
        <f t="array" ref="K49">AddTerm(RefDate,J49)</f>
        <v>52193</v>
      </c>
      <c r="L49" s="29" cm="1">
        <f t="array" aca="1" ref="L49" ca="1">GetBusinessDate($K49,BusinessDayConv2,IF(ISBLANK(HolidaySheet2),HolidaySheet2,INDIRECT("HolTbl"&amp;HolidaySheet2&amp;"[Date]")))</f>
        <v>52194</v>
      </c>
      <c r="M49" s="15" t="str">
        <f ca="1">IF(OR(WEEKDAY($K49)=1,WEEKDAY($K49)=7),"Weekend",IFERROR(INDEX(INDIRECT("HolTbl"&amp;HolidaySheet2&amp;"[Holiday]"),MATCH($K49,INDIRECT("HolTbl"&amp;HolidaySheet2&amp;"[Date]"),0)),$L$10))</f>
        <v>Weekend</v>
      </c>
    </row>
    <row r="50" spans="6:13" ht="15.75" thickBot="1" x14ac:dyDescent="0.3">
      <c r="F50" s="55">
        <f t="shared" si="0"/>
        <v>44966</v>
      </c>
      <c r="G50" s="14" cm="1">
        <f t="array" aca="1" ref="G50" ca="1">GetBusinessDate($F50,BusinessDayConv,IF(ISBLANK(HolidaySheet),HolidaySheet,INDIRECT("HolTbl"&amp;HolidaySheet&amp;"[Date]")))</f>
        <v>44966</v>
      </c>
      <c r="H50" s="56" t="str">
        <f ca="1">IF(OR(WEEKDAY($F50)=1,WEEKDAY($F50)=7),"Weekend",IFERROR(INDEX(INDIRECT("HolTbl"&amp;HolidaySheet&amp;"[Holiday]"),MATCH($F50,INDIRECT("HolTbl"&amp;HolidaySheet&amp;"[Date]"),0)),$G$10))</f>
        <v>Good Business Date</v>
      </c>
      <c r="J50" s="16" t="s">
        <v>57</v>
      </c>
      <c r="K50" s="25" cm="1">
        <f t="array" ref="K50">AddTerm(RefDate,J50)</f>
        <v>52558</v>
      </c>
      <c r="L50" s="30" cm="1">
        <f t="array" aca="1" ref="L50" ca="1">GetBusinessDate($K50,BusinessDayConv2,IF(ISBLANK(HolidaySheet2),HolidaySheet2,INDIRECT("HolTbl"&amp;HolidaySheet2&amp;"[Date]")))</f>
        <v>52558</v>
      </c>
      <c r="M50" s="26" t="str">
        <f ca="1">IF(OR(WEEKDAY($K50)=1,WEEKDAY($K50)=7),"Weekend",IFERROR(INDEX(INDIRECT("HolTbl"&amp;HolidaySheet2&amp;"[Holiday]"),MATCH($K50,INDIRECT("HolTbl"&amp;HolidaySheet2&amp;"[Date]"),0)),$L$10))</f>
        <v>Good Business Date</v>
      </c>
    </row>
    <row r="51" spans="6:13" x14ac:dyDescent="0.25">
      <c r="F51" s="55">
        <f t="shared" si="0"/>
        <v>44967</v>
      </c>
      <c r="G51" s="14" cm="1">
        <f t="array" aca="1" ref="G51" ca="1">GetBusinessDate($F51,BusinessDayConv,IF(ISBLANK(HolidaySheet),HolidaySheet,INDIRECT("HolTbl"&amp;HolidaySheet&amp;"[Date]")))</f>
        <v>44967</v>
      </c>
      <c r="H51" s="56" t="str">
        <f ca="1">IF(OR(WEEKDAY($F51)=1,WEEKDAY($F51)=7),"Weekend",IFERROR(INDEX(INDIRECT("HolTbl"&amp;HolidaySheet&amp;"[Holiday]"),MATCH($F51,INDIRECT("HolTbl"&amp;HolidaySheet&amp;"[Date]"),0)),$G$10))</f>
        <v>Good Business Date</v>
      </c>
    </row>
    <row r="52" spans="6:13" x14ac:dyDescent="0.25">
      <c r="F52" s="55">
        <f t="shared" si="0"/>
        <v>44968</v>
      </c>
      <c r="G52" s="14" cm="1">
        <f t="array" aca="1" ref="G52" ca="1">GetBusinessDate($F52,BusinessDayConv,IF(ISBLANK(HolidaySheet),HolidaySheet,INDIRECT("HolTbl"&amp;HolidaySheet&amp;"[Date]")))</f>
        <v>44970</v>
      </c>
      <c r="H52" s="56" t="str">
        <f ca="1">IF(OR(WEEKDAY($F52)=1,WEEKDAY($F52)=7),"Weekend",IFERROR(INDEX(INDIRECT("HolTbl"&amp;HolidaySheet&amp;"[Holiday]"),MATCH($F52,INDIRECT("HolTbl"&amp;HolidaySheet&amp;"[Date]"),0)),$G$10))</f>
        <v>Weekend</v>
      </c>
    </row>
    <row r="53" spans="6:13" x14ac:dyDescent="0.25">
      <c r="F53" s="55">
        <f t="shared" si="0"/>
        <v>44969</v>
      </c>
      <c r="G53" s="14" cm="1">
        <f t="array" aca="1" ref="G53" ca="1">GetBusinessDate($F53,BusinessDayConv,IF(ISBLANK(HolidaySheet),HolidaySheet,INDIRECT("HolTbl"&amp;HolidaySheet&amp;"[Date]")))</f>
        <v>44970</v>
      </c>
      <c r="H53" s="56" t="str">
        <f ca="1">IF(OR(WEEKDAY($F53)=1,WEEKDAY($F53)=7),"Weekend",IFERROR(INDEX(INDIRECT("HolTbl"&amp;HolidaySheet&amp;"[Holiday]"),MATCH($F53,INDIRECT("HolTbl"&amp;HolidaySheet&amp;"[Date]"),0)),$G$10))</f>
        <v>Weekend</v>
      </c>
    </row>
    <row r="54" spans="6:13" x14ac:dyDescent="0.25">
      <c r="F54" s="55">
        <f t="shared" si="0"/>
        <v>44970</v>
      </c>
      <c r="G54" s="14" cm="1">
        <f t="array" aca="1" ref="G54" ca="1">GetBusinessDate($F54,BusinessDayConv,IF(ISBLANK(HolidaySheet),HolidaySheet,INDIRECT("HolTbl"&amp;HolidaySheet&amp;"[Date]")))</f>
        <v>44970</v>
      </c>
      <c r="H54" s="56" t="str">
        <f ca="1">IF(OR(WEEKDAY($F54)=1,WEEKDAY($F54)=7),"Weekend",IFERROR(INDEX(INDIRECT("HolTbl"&amp;HolidaySheet&amp;"[Holiday]"),MATCH($F54,INDIRECT("HolTbl"&amp;HolidaySheet&amp;"[Date]"),0)),$G$10))</f>
        <v>Good Business Date</v>
      </c>
    </row>
    <row r="55" spans="6:13" x14ac:dyDescent="0.25">
      <c r="F55" s="55">
        <f t="shared" si="0"/>
        <v>44971</v>
      </c>
      <c r="G55" s="14" cm="1">
        <f t="array" aca="1" ref="G55" ca="1">GetBusinessDate($F55,BusinessDayConv,IF(ISBLANK(HolidaySheet),HolidaySheet,INDIRECT("HolTbl"&amp;HolidaySheet&amp;"[Date]")))</f>
        <v>44971</v>
      </c>
      <c r="H55" s="56" t="str">
        <f ca="1">IF(OR(WEEKDAY($F55)=1,WEEKDAY($F55)=7),"Weekend",IFERROR(INDEX(INDIRECT("HolTbl"&amp;HolidaySheet&amp;"[Holiday]"),MATCH($F55,INDIRECT("HolTbl"&amp;HolidaySheet&amp;"[Date]"),0)),$G$10))</f>
        <v>Good Business Date</v>
      </c>
    </row>
    <row r="56" spans="6:13" x14ac:dyDescent="0.25">
      <c r="F56" s="55">
        <f t="shared" si="0"/>
        <v>44972</v>
      </c>
      <c r="G56" s="14" cm="1">
        <f t="array" aca="1" ref="G56" ca="1">GetBusinessDate($F56,BusinessDayConv,IF(ISBLANK(HolidaySheet),HolidaySheet,INDIRECT("HolTbl"&amp;HolidaySheet&amp;"[Date]")))</f>
        <v>44972</v>
      </c>
      <c r="H56" s="56" t="str">
        <f ca="1">IF(OR(WEEKDAY($F56)=1,WEEKDAY($F56)=7),"Weekend",IFERROR(INDEX(INDIRECT("HolTbl"&amp;HolidaySheet&amp;"[Holiday]"),MATCH($F56,INDIRECT("HolTbl"&amp;HolidaySheet&amp;"[Date]"),0)),$G$10))</f>
        <v>Good Business Date</v>
      </c>
    </row>
    <row r="57" spans="6:13" x14ac:dyDescent="0.25">
      <c r="F57" s="55">
        <f t="shared" si="0"/>
        <v>44973</v>
      </c>
      <c r="G57" s="14" cm="1">
        <f t="array" aca="1" ref="G57" ca="1">GetBusinessDate($F57,BusinessDayConv,IF(ISBLANK(HolidaySheet),HolidaySheet,INDIRECT("HolTbl"&amp;HolidaySheet&amp;"[Date]")))</f>
        <v>44973</v>
      </c>
      <c r="H57" s="56" t="str">
        <f ca="1">IF(OR(WEEKDAY($F57)=1,WEEKDAY($F57)=7),"Weekend",IFERROR(INDEX(INDIRECT("HolTbl"&amp;HolidaySheet&amp;"[Holiday]"),MATCH($F57,INDIRECT("HolTbl"&amp;HolidaySheet&amp;"[Date]"),0)),$G$10))</f>
        <v>Good Business Date</v>
      </c>
    </row>
    <row r="58" spans="6:13" x14ac:dyDescent="0.25">
      <c r="F58" s="55">
        <f t="shared" si="0"/>
        <v>44974</v>
      </c>
      <c r="G58" s="14" cm="1">
        <f t="array" aca="1" ref="G58" ca="1">GetBusinessDate($F58,BusinessDayConv,IF(ISBLANK(HolidaySheet),HolidaySheet,INDIRECT("HolTbl"&amp;HolidaySheet&amp;"[Date]")))</f>
        <v>44974</v>
      </c>
      <c r="H58" s="56" t="str">
        <f ca="1">IF(OR(WEEKDAY($F58)=1,WEEKDAY($F58)=7),"Weekend",IFERROR(INDEX(INDIRECT("HolTbl"&amp;HolidaySheet&amp;"[Holiday]"),MATCH($F58,INDIRECT("HolTbl"&amp;HolidaySheet&amp;"[Date]"),0)),$G$10))</f>
        <v>Good Business Date</v>
      </c>
    </row>
    <row r="59" spans="6:13" x14ac:dyDescent="0.25">
      <c r="F59" s="55">
        <f t="shared" si="0"/>
        <v>44975</v>
      </c>
      <c r="G59" s="14" cm="1">
        <f t="array" aca="1" ref="G59" ca="1">GetBusinessDate($F59,BusinessDayConv,IF(ISBLANK(HolidaySheet),HolidaySheet,INDIRECT("HolTbl"&amp;HolidaySheet&amp;"[Date]")))</f>
        <v>44978</v>
      </c>
      <c r="H59" s="56" t="str">
        <f ca="1">IF(OR(WEEKDAY($F59)=1,WEEKDAY($F59)=7),"Weekend",IFERROR(INDEX(INDIRECT("HolTbl"&amp;HolidaySheet&amp;"[Holiday]"),MATCH($F59,INDIRECT("HolTbl"&amp;HolidaySheet&amp;"[Date]"),0)),$G$10))</f>
        <v>Weekend</v>
      </c>
    </row>
    <row r="60" spans="6:13" x14ac:dyDescent="0.25">
      <c r="F60" s="55">
        <f t="shared" si="0"/>
        <v>44976</v>
      </c>
      <c r="G60" s="14" cm="1">
        <f t="array" aca="1" ref="G60" ca="1">GetBusinessDate($F60,BusinessDayConv,IF(ISBLANK(HolidaySheet),HolidaySheet,INDIRECT("HolTbl"&amp;HolidaySheet&amp;"[Date]")))</f>
        <v>44978</v>
      </c>
      <c r="H60" s="56" t="str">
        <f ca="1">IF(OR(WEEKDAY($F60)=1,WEEKDAY($F60)=7),"Weekend",IFERROR(INDEX(INDIRECT("HolTbl"&amp;HolidaySheet&amp;"[Holiday]"),MATCH($F60,INDIRECT("HolTbl"&amp;HolidaySheet&amp;"[Date]"),0)),$G$10))</f>
        <v>Weekend</v>
      </c>
    </row>
    <row r="61" spans="6:13" x14ac:dyDescent="0.25">
      <c r="F61" s="55">
        <f t="shared" si="0"/>
        <v>44977</v>
      </c>
      <c r="G61" s="14" cm="1">
        <f t="array" aca="1" ref="G61" ca="1">GetBusinessDate($F61,BusinessDayConv,IF(ISBLANK(HolidaySheet),HolidaySheet,INDIRECT("HolTbl"&amp;HolidaySheet&amp;"[Date]")))</f>
        <v>44978</v>
      </c>
      <c r="H61" s="56" t="str">
        <f ca="1">IF(OR(WEEKDAY($F61)=1,WEEKDAY($F61)=7),"Weekend",IFERROR(INDEX(INDIRECT("HolTbl"&amp;HolidaySheet&amp;"[Holiday]"),MATCH($F61,INDIRECT("HolTbl"&amp;HolidaySheet&amp;"[Date]"),0)),$G$10))</f>
        <v>Presidents Day</v>
      </c>
    </row>
    <row r="62" spans="6:13" x14ac:dyDescent="0.25">
      <c r="F62" s="55">
        <f t="shared" si="0"/>
        <v>44978</v>
      </c>
      <c r="G62" s="14" cm="1">
        <f t="array" aca="1" ref="G62" ca="1">GetBusinessDate($F62,BusinessDayConv,IF(ISBLANK(HolidaySheet),HolidaySheet,INDIRECT("HolTbl"&amp;HolidaySheet&amp;"[Date]")))</f>
        <v>44978</v>
      </c>
      <c r="H62" s="56" t="str">
        <f ca="1">IF(OR(WEEKDAY($F62)=1,WEEKDAY($F62)=7),"Weekend",IFERROR(INDEX(INDIRECT("HolTbl"&amp;HolidaySheet&amp;"[Holiday]"),MATCH($F62,INDIRECT("HolTbl"&amp;HolidaySheet&amp;"[Date]"),0)),$G$10))</f>
        <v>Good Business Date</v>
      </c>
    </row>
    <row r="63" spans="6:13" x14ac:dyDescent="0.25">
      <c r="F63" s="55">
        <f t="shared" si="0"/>
        <v>44979</v>
      </c>
      <c r="G63" s="14" cm="1">
        <f t="array" aca="1" ref="G63" ca="1">GetBusinessDate($F63,BusinessDayConv,IF(ISBLANK(HolidaySheet),HolidaySheet,INDIRECT("HolTbl"&amp;HolidaySheet&amp;"[Date]")))</f>
        <v>44979</v>
      </c>
      <c r="H63" s="56" t="str">
        <f ca="1">IF(OR(WEEKDAY($F63)=1,WEEKDAY($F63)=7),"Weekend",IFERROR(INDEX(INDIRECT("HolTbl"&amp;HolidaySheet&amp;"[Holiday]"),MATCH($F63,INDIRECT("HolTbl"&amp;HolidaySheet&amp;"[Date]"),0)),$G$10))</f>
        <v>Good Business Date</v>
      </c>
    </row>
    <row r="64" spans="6:13" x14ac:dyDescent="0.25">
      <c r="F64" s="55">
        <f t="shared" si="0"/>
        <v>44980</v>
      </c>
      <c r="G64" s="14" cm="1">
        <f t="array" aca="1" ref="G64" ca="1">GetBusinessDate($F64,BusinessDayConv,IF(ISBLANK(HolidaySheet),HolidaySheet,INDIRECT("HolTbl"&amp;HolidaySheet&amp;"[Date]")))</f>
        <v>44980</v>
      </c>
      <c r="H64" s="56" t="str">
        <f ca="1">IF(OR(WEEKDAY($F64)=1,WEEKDAY($F64)=7),"Weekend",IFERROR(INDEX(INDIRECT("HolTbl"&amp;HolidaySheet&amp;"[Holiday]"),MATCH($F64,INDIRECT("HolTbl"&amp;HolidaySheet&amp;"[Date]"),0)),$G$10))</f>
        <v>Good Business Date</v>
      </c>
    </row>
    <row r="65" spans="6:8" x14ac:dyDescent="0.25">
      <c r="F65" s="55">
        <f t="shared" si="0"/>
        <v>44981</v>
      </c>
      <c r="G65" s="14" cm="1">
        <f t="array" aca="1" ref="G65" ca="1">GetBusinessDate($F65,BusinessDayConv,IF(ISBLANK(HolidaySheet),HolidaySheet,INDIRECT("HolTbl"&amp;HolidaySheet&amp;"[Date]")))</f>
        <v>44981</v>
      </c>
      <c r="H65" s="56" t="str">
        <f ca="1">IF(OR(WEEKDAY($F65)=1,WEEKDAY($F65)=7),"Weekend",IFERROR(INDEX(INDIRECT("HolTbl"&amp;HolidaySheet&amp;"[Holiday]"),MATCH($F65,INDIRECT("HolTbl"&amp;HolidaySheet&amp;"[Date]"),0)),$G$10))</f>
        <v>Good Business Date</v>
      </c>
    </row>
    <row r="66" spans="6:8" x14ac:dyDescent="0.25">
      <c r="F66" s="55">
        <f t="shared" si="0"/>
        <v>44982</v>
      </c>
      <c r="G66" s="14" cm="1">
        <f t="array" aca="1" ref="G66" ca="1">GetBusinessDate($F66,BusinessDayConv,IF(ISBLANK(HolidaySheet),HolidaySheet,INDIRECT("HolTbl"&amp;HolidaySheet&amp;"[Date]")))</f>
        <v>44984</v>
      </c>
      <c r="H66" s="56" t="str">
        <f ca="1">IF(OR(WEEKDAY($F66)=1,WEEKDAY($F66)=7),"Weekend",IFERROR(INDEX(INDIRECT("HolTbl"&amp;HolidaySheet&amp;"[Holiday]"),MATCH($F66,INDIRECT("HolTbl"&amp;HolidaySheet&amp;"[Date]"),0)),$G$10))</f>
        <v>Weekend</v>
      </c>
    </row>
    <row r="67" spans="6:8" x14ac:dyDescent="0.25">
      <c r="F67" s="55">
        <f t="shared" si="0"/>
        <v>44983</v>
      </c>
      <c r="G67" s="14" cm="1">
        <f t="array" aca="1" ref="G67" ca="1">GetBusinessDate($F67,BusinessDayConv,IF(ISBLANK(HolidaySheet),HolidaySheet,INDIRECT("HolTbl"&amp;HolidaySheet&amp;"[Date]")))</f>
        <v>44984</v>
      </c>
      <c r="H67" s="56" t="str">
        <f ca="1">IF(OR(WEEKDAY($F67)=1,WEEKDAY($F67)=7),"Weekend",IFERROR(INDEX(INDIRECT("HolTbl"&amp;HolidaySheet&amp;"[Holiday]"),MATCH($F67,INDIRECT("HolTbl"&amp;HolidaySheet&amp;"[Date]"),0)),$G$10))</f>
        <v>Weekend</v>
      </c>
    </row>
    <row r="68" spans="6:8" x14ac:dyDescent="0.25">
      <c r="F68" s="55">
        <f t="shared" si="0"/>
        <v>44984</v>
      </c>
      <c r="G68" s="14" cm="1">
        <f t="array" aca="1" ref="G68" ca="1">GetBusinessDate($F68,BusinessDayConv,IF(ISBLANK(HolidaySheet),HolidaySheet,INDIRECT("HolTbl"&amp;HolidaySheet&amp;"[Date]")))</f>
        <v>44984</v>
      </c>
      <c r="H68" s="56" t="str">
        <f ca="1">IF(OR(WEEKDAY($F68)=1,WEEKDAY($F68)=7),"Weekend",IFERROR(INDEX(INDIRECT("HolTbl"&amp;HolidaySheet&amp;"[Holiday]"),MATCH($F68,INDIRECT("HolTbl"&amp;HolidaySheet&amp;"[Date]"),0)),$G$10))</f>
        <v>Good Business Date</v>
      </c>
    </row>
    <row r="69" spans="6:8" x14ac:dyDescent="0.25">
      <c r="F69" s="55">
        <f t="shared" si="0"/>
        <v>44985</v>
      </c>
      <c r="G69" s="14" cm="1">
        <f t="array" aca="1" ref="G69" ca="1">GetBusinessDate($F69,BusinessDayConv,IF(ISBLANK(HolidaySheet),HolidaySheet,INDIRECT("HolTbl"&amp;HolidaySheet&amp;"[Date]")))</f>
        <v>44985</v>
      </c>
      <c r="H69" s="56" t="str">
        <f ca="1">IF(OR(WEEKDAY($F69)=1,WEEKDAY($F69)=7),"Weekend",IFERROR(INDEX(INDIRECT("HolTbl"&amp;HolidaySheet&amp;"[Holiday]"),MATCH($F69,INDIRECT("HolTbl"&amp;HolidaySheet&amp;"[Date]"),0)),$G$10))</f>
        <v>Good Business Date</v>
      </c>
    </row>
    <row r="70" spans="6:8" x14ac:dyDescent="0.25">
      <c r="F70" s="55">
        <f t="shared" si="0"/>
        <v>44986</v>
      </c>
      <c r="G70" s="14" cm="1">
        <f t="array" aca="1" ref="G70" ca="1">GetBusinessDate($F70,BusinessDayConv,IF(ISBLANK(HolidaySheet),HolidaySheet,INDIRECT("HolTbl"&amp;HolidaySheet&amp;"[Date]")))</f>
        <v>44986</v>
      </c>
      <c r="H70" s="56" t="str">
        <f ca="1">IF(OR(WEEKDAY($F70)=1,WEEKDAY($F70)=7),"Weekend",IFERROR(INDEX(INDIRECT("HolTbl"&amp;HolidaySheet&amp;"[Holiday]"),MATCH($F70,INDIRECT("HolTbl"&amp;HolidaySheet&amp;"[Date]"),0)),$G$10))</f>
        <v>Good Business Date</v>
      </c>
    </row>
    <row r="71" spans="6:8" x14ac:dyDescent="0.25">
      <c r="F71" s="55">
        <f t="shared" si="0"/>
        <v>44987</v>
      </c>
      <c r="G71" s="14" cm="1">
        <f t="array" aca="1" ref="G71" ca="1">GetBusinessDate($F71,BusinessDayConv,IF(ISBLANK(HolidaySheet),HolidaySheet,INDIRECT("HolTbl"&amp;HolidaySheet&amp;"[Date]")))</f>
        <v>44987</v>
      </c>
      <c r="H71" s="56" t="str">
        <f ca="1">IF(OR(WEEKDAY($F71)=1,WEEKDAY($F71)=7),"Weekend",IFERROR(INDEX(INDIRECT("HolTbl"&amp;HolidaySheet&amp;"[Holiday]"),MATCH($F71,INDIRECT("HolTbl"&amp;HolidaySheet&amp;"[Date]"),0)),$G$10))</f>
        <v>Good Business Date</v>
      </c>
    </row>
    <row r="72" spans="6:8" x14ac:dyDescent="0.25">
      <c r="F72" s="55">
        <f t="shared" si="0"/>
        <v>44988</v>
      </c>
      <c r="G72" s="14" cm="1">
        <f t="array" aca="1" ref="G72" ca="1">GetBusinessDate($F72,BusinessDayConv,IF(ISBLANK(HolidaySheet),HolidaySheet,INDIRECT("HolTbl"&amp;HolidaySheet&amp;"[Date]")))</f>
        <v>44988</v>
      </c>
      <c r="H72" s="56" t="str">
        <f ca="1">IF(OR(WEEKDAY($F72)=1,WEEKDAY($F72)=7),"Weekend",IFERROR(INDEX(INDIRECT("HolTbl"&amp;HolidaySheet&amp;"[Holiday]"),MATCH($F72,INDIRECT("HolTbl"&amp;HolidaySheet&amp;"[Date]"),0)),$G$10))</f>
        <v>Good Business Date</v>
      </c>
    </row>
    <row r="73" spans="6:8" x14ac:dyDescent="0.25">
      <c r="F73" s="55">
        <f t="shared" si="0"/>
        <v>44989</v>
      </c>
      <c r="G73" s="14" cm="1">
        <f t="array" aca="1" ref="G73" ca="1">GetBusinessDate($F73,BusinessDayConv,IF(ISBLANK(HolidaySheet),HolidaySheet,INDIRECT("HolTbl"&amp;HolidaySheet&amp;"[Date]")))</f>
        <v>44991</v>
      </c>
      <c r="H73" s="56" t="str">
        <f ca="1">IF(OR(WEEKDAY($F73)=1,WEEKDAY($F73)=7),"Weekend",IFERROR(INDEX(INDIRECT("HolTbl"&amp;HolidaySheet&amp;"[Holiday]"),MATCH($F73,INDIRECT("HolTbl"&amp;HolidaySheet&amp;"[Date]"),0)),$G$10))</f>
        <v>Weekend</v>
      </c>
    </row>
    <row r="74" spans="6:8" x14ac:dyDescent="0.25">
      <c r="F74" s="55">
        <f t="shared" si="0"/>
        <v>44990</v>
      </c>
      <c r="G74" s="14" cm="1">
        <f t="array" aca="1" ref="G74" ca="1">GetBusinessDate($F74,BusinessDayConv,IF(ISBLANK(HolidaySheet),HolidaySheet,INDIRECT("HolTbl"&amp;HolidaySheet&amp;"[Date]")))</f>
        <v>44991</v>
      </c>
      <c r="H74" s="56" t="str">
        <f ca="1">IF(OR(WEEKDAY($F74)=1,WEEKDAY($F74)=7),"Weekend",IFERROR(INDEX(INDIRECT("HolTbl"&amp;HolidaySheet&amp;"[Holiday]"),MATCH($F74,INDIRECT("HolTbl"&amp;HolidaySheet&amp;"[Date]"),0)),$G$10))</f>
        <v>Weekend</v>
      </c>
    </row>
    <row r="75" spans="6:8" x14ac:dyDescent="0.25">
      <c r="F75" s="55">
        <f t="shared" si="0"/>
        <v>44991</v>
      </c>
      <c r="G75" s="14" cm="1">
        <f t="array" aca="1" ref="G75" ca="1">GetBusinessDate($F75,BusinessDayConv,IF(ISBLANK(HolidaySheet),HolidaySheet,INDIRECT("HolTbl"&amp;HolidaySheet&amp;"[Date]")))</f>
        <v>44991</v>
      </c>
      <c r="H75" s="56" t="str">
        <f ca="1">IF(OR(WEEKDAY($F75)=1,WEEKDAY($F75)=7),"Weekend",IFERROR(INDEX(INDIRECT("HolTbl"&amp;HolidaySheet&amp;"[Holiday]"),MATCH($F75,INDIRECT("HolTbl"&amp;HolidaySheet&amp;"[Date]"),0)),$G$10))</f>
        <v>Good Business Date</v>
      </c>
    </row>
    <row r="76" spans="6:8" x14ac:dyDescent="0.25">
      <c r="F76" s="55">
        <f t="shared" si="0"/>
        <v>44992</v>
      </c>
      <c r="G76" s="14" cm="1">
        <f t="array" aca="1" ref="G76" ca="1">GetBusinessDate($F76,BusinessDayConv,IF(ISBLANK(HolidaySheet),HolidaySheet,INDIRECT("HolTbl"&amp;HolidaySheet&amp;"[Date]")))</f>
        <v>44992</v>
      </c>
      <c r="H76" s="56" t="str">
        <f ca="1">IF(OR(WEEKDAY($F76)=1,WEEKDAY($F76)=7),"Weekend",IFERROR(INDEX(INDIRECT("HolTbl"&amp;HolidaySheet&amp;"[Holiday]"),MATCH($F76,INDIRECT("HolTbl"&amp;HolidaySheet&amp;"[Date]"),0)),$G$10))</f>
        <v>Good Business Date</v>
      </c>
    </row>
    <row r="77" spans="6:8" x14ac:dyDescent="0.25">
      <c r="F77" s="55">
        <f t="shared" ref="F77:F140" si="1">F76+1</f>
        <v>44993</v>
      </c>
      <c r="G77" s="14" cm="1">
        <f t="array" aca="1" ref="G77" ca="1">GetBusinessDate($F77,BusinessDayConv,IF(ISBLANK(HolidaySheet),HolidaySheet,INDIRECT("HolTbl"&amp;HolidaySheet&amp;"[Date]")))</f>
        <v>44993</v>
      </c>
      <c r="H77" s="56" t="str">
        <f ca="1">IF(OR(WEEKDAY($F77)=1,WEEKDAY($F77)=7),"Weekend",IFERROR(INDEX(INDIRECT("HolTbl"&amp;HolidaySheet&amp;"[Holiday]"),MATCH($F77,INDIRECT("HolTbl"&amp;HolidaySheet&amp;"[Date]"),0)),$G$10))</f>
        <v>Good Business Date</v>
      </c>
    </row>
    <row r="78" spans="6:8" x14ac:dyDescent="0.25">
      <c r="F78" s="55">
        <f t="shared" si="1"/>
        <v>44994</v>
      </c>
      <c r="G78" s="14" cm="1">
        <f t="array" aca="1" ref="G78" ca="1">GetBusinessDate($F78,BusinessDayConv,IF(ISBLANK(HolidaySheet),HolidaySheet,INDIRECT("HolTbl"&amp;HolidaySheet&amp;"[Date]")))</f>
        <v>44994</v>
      </c>
      <c r="H78" s="56" t="str">
        <f ca="1">IF(OR(WEEKDAY($F78)=1,WEEKDAY($F78)=7),"Weekend",IFERROR(INDEX(INDIRECT("HolTbl"&amp;HolidaySheet&amp;"[Holiday]"),MATCH($F78,INDIRECT("HolTbl"&amp;HolidaySheet&amp;"[Date]"),0)),$G$10))</f>
        <v>Good Business Date</v>
      </c>
    </row>
    <row r="79" spans="6:8" x14ac:dyDescent="0.25">
      <c r="F79" s="55">
        <f t="shared" si="1"/>
        <v>44995</v>
      </c>
      <c r="G79" s="14" cm="1">
        <f t="array" aca="1" ref="G79" ca="1">GetBusinessDate($F79,BusinessDayConv,IF(ISBLANK(HolidaySheet),HolidaySheet,INDIRECT("HolTbl"&amp;HolidaySheet&amp;"[Date]")))</f>
        <v>44995</v>
      </c>
      <c r="H79" s="56" t="str">
        <f ca="1">IF(OR(WEEKDAY($F79)=1,WEEKDAY($F79)=7),"Weekend",IFERROR(INDEX(INDIRECT("HolTbl"&amp;HolidaySheet&amp;"[Holiday]"),MATCH($F79,INDIRECT("HolTbl"&amp;HolidaySheet&amp;"[Date]"),0)),$G$10))</f>
        <v>Good Business Date</v>
      </c>
    </row>
    <row r="80" spans="6:8" x14ac:dyDescent="0.25">
      <c r="F80" s="55">
        <f t="shared" si="1"/>
        <v>44996</v>
      </c>
      <c r="G80" s="14" cm="1">
        <f t="array" aca="1" ref="G80" ca="1">GetBusinessDate($F80,BusinessDayConv,IF(ISBLANK(HolidaySheet),HolidaySheet,INDIRECT("HolTbl"&amp;HolidaySheet&amp;"[Date]")))</f>
        <v>44998</v>
      </c>
      <c r="H80" s="56" t="str">
        <f ca="1">IF(OR(WEEKDAY($F80)=1,WEEKDAY($F80)=7),"Weekend",IFERROR(INDEX(INDIRECT("HolTbl"&amp;HolidaySheet&amp;"[Holiday]"),MATCH($F80,INDIRECT("HolTbl"&amp;HolidaySheet&amp;"[Date]"),0)),$G$10))</f>
        <v>Weekend</v>
      </c>
    </row>
    <row r="81" spans="6:8" x14ac:dyDescent="0.25">
      <c r="F81" s="55">
        <f t="shared" si="1"/>
        <v>44997</v>
      </c>
      <c r="G81" s="14" cm="1">
        <f t="array" aca="1" ref="G81" ca="1">GetBusinessDate($F81,BusinessDayConv,IF(ISBLANK(HolidaySheet),HolidaySheet,INDIRECT("HolTbl"&amp;HolidaySheet&amp;"[Date]")))</f>
        <v>44998</v>
      </c>
      <c r="H81" s="56" t="str">
        <f ca="1">IF(OR(WEEKDAY($F81)=1,WEEKDAY($F81)=7),"Weekend",IFERROR(INDEX(INDIRECT("HolTbl"&amp;HolidaySheet&amp;"[Holiday]"),MATCH($F81,INDIRECT("HolTbl"&amp;HolidaySheet&amp;"[Date]"),0)),$G$10))</f>
        <v>Weekend</v>
      </c>
    </row>
    <row r="82" spans="6:8" x14ac:dyDescent="0.25">
      <c r="F82" s="55">
        <f t="shared" si="1"/>
        <v>44998</v>
      </c>
      <c r="G82" s="14" cm="1">
        <f t="array" aca="1" ref="G82" ca="1">GetBusinessDate($F82,BusinessDayConv,IF(ISBLANK(HolidaySheet),HolidaySheet,INDIRECT("HolTbl"&amp;HolidaySheet&amp;"[Date]")))</f>
        <v>44998</v>
      </c>
      <c r="H82" s="56" t="str">
        <f ca="1">IF(OR(WEEKDAY($F82)=1,WEEKDAY($F82)=7),"Weekend",IFERROR(INDEX(INDIRECT("HolTbl"&amp;HolidaySheet&amp;"[Holiday]"),MATCH($F82,INDIRECT("HolTbl"&amp;HolidaySheet&amp;"[Date]"),0)),$G$10))</f>
        <v>Good Business Date</v>
      </c>
    </row>
    <row r="83" spans="6:8" x14ac:dyDescent="0.25">
      <c r="F83" s="55">
        <f t="shared" si="1"/>
        <v>44999</v>
      </c>
      <c r="G83" s="14" cm="1">
        <f t="array" aca="1" ref="G83" ca="1">GetBusinessDate($F83,BusinessDayConv,IF(ISBLANK(HolidaySheet),HolidaySheet,INDIRECT("HolTbl"&amp;HolidaySheet&amp;"[Date]")))</f>
        <v>44999</v>
      </c>
      <c r="H83" s="56" t="str">
        <f ca="1">IF(OR(WEEKDAY($F83)=1,WEEKDAY($F83)=7),"Weekend",IFERROR(INDEX(INDIRECT("HolTbl"&amp;HolidaySheet&amp;"[Holiday]"),MATCH($F83,INDIRECT("HolTbl"&amp;HolidaySheet&amp;"[Date]"),0)),$G$10))</f>
        <v>Good Business Date</v>
      </c>
    </row>
    <row r="84" spans="6:8" x14ac:dyDescent="0.25">
      <c r="F84" s="55">
        <f t="shared" si="1"/>
        <v>45000</v>
      </c>
      <c r="G84" s="14" cm="1">
        <f t="array" aca="1" ref="G84" ca="1">GetBusinessDate($F84,BusinessDayConv,IF(ISBLANK(HolidaySheet),HolidaySheet,INDIRECT("HolTbl"&amp;HolidaySheet&amp;"[Date]")))</f>
        <v>45000</v>
      </c>
      <c r="H84" s="56" t="str">
        <f ca="1">IF(OR(WEEKDAY($F84)=1,WEEKDAY($F84)=7),"Weekend",IFERROR(INDEX(INDIRECT("HolTbl"&amp;HolidaySheet&amp;"[Holiday]"),MATCH($F84,INDIRECT("HolTbl"&amp;HolidaySheet&amp;"[Date]"),0)),$G$10))</f>
        <v>Good Business Date</v>
      </c>
    </row>
    <row r="85" spans="6:8" x14ac:dyDescent="0.25">
      <c r="F85" s="55">
        <f t="shared" si="1"/>
        <v>45001</v>
      </c>
      <c r="G85" s="14" cm="1">
        <f t="array" aca="1" ref="G85" ca="1">GetBusinessDate($F85,BusinessDayConv,IF(ISBLANK(HolidaySheet),HolidaySheet,INDIRECT("HolTbl"&amp;HolidaySheet&amp;"[Date]")))</f>
        <v>45001</v>
      </c>
      <c r="H85" s="56" t="str">
        <f ca="1">IF(OR(WEEKDAY($F85)=1,WEEKDAY($F85)=7),"Weekend",IFERROR(INDEX(INDIRECT("HolTbl"&amp;HolidaySheet&amp;"[Holiday]"),MATCH($F85,INDIRECT("HolTbl"&amp;HolidaySheet&amp;"[Date]"),0)),$G$10))</f>
        <v>Good Business Date</v>
      </c>
    </row>
    <row r="86" spans="6:8" x14ac:dyDescent="0.25">
      <c r="F86" s="55">
        <f t="shared" si="1"/>
        <v>45002</v>
      </c>
      <c r="G86" s="14" cm="1">
        <f t="array" aca="1" ref="G86" ca="1">GetBusinessDate($F86,BusinessDayConv,IF(ISBLANK(HolidaySheet),HolidaySheet,INDIRECT("HolTbl"&amp;HolidaySheet&amp;"[Date]")))</f>
        <v>45002</v>
      </c>
      <c r="H86" s="56" t="str">
        <f ca="1">IF(OR(WEEKDAY($F86)=1,WEEKDAY($F86)=7),"Weekend",IFERROR(INDEX(INDIRECT("HolTbl"&amp;HolidaySheet&amp;"[Holiday]"),MATCH($F86,INDIRECT("HolTbl"&amp;HolidaySheet&amp;"[Date]"),0)),$G$10))</f>
        <v>Good Business Date</v>
      </c>
    </row>
    <row r="87" spans="6:8" x14ac:dyDescent="0.25">
      <c r="F87" s="55">
        <f t="shared" si="1"/>
        <v>45003</v>
      </c>
      <c r="G87" s="14" cm="1">
        <f t="array" aca="1" ref="G87" ca="1">GetBusinessDate($F87,BusinessDayConv,IF(ISBLANK(HolidaySheet),HolidaySheet,INDIRECT("HolTbl"&amp;HolidaySheet&amp;"[Date]")))</f>
        <v>45005</v>
      </c>
      <c r="H87" s="56" t="str">
        <f ca="1">IF(OR(WEEKDAY($F87)=1,WEEKDAY($F87)=7),"Weekend",IFERROR(INDEX(INDIRECT("HolTbl"&amp;HolidaySheet&amp;"[Holiday]"),MATCH($F87,INDIRECT("HolTbl"&amp;HolidaySheet&amp;"[Date]"),0)),$G$10))</f>
        <v>Weekend</v>
      </c>
    </row>
    <row r="88" spans="6:8" x14ac:dyDescent="0.25">
      <c r="F88" s="55">
        <f t="shared" si="1"/>
        <v>45004</v>
      </c>
      <c r="G88" s="14" cm="1">
        <f t="array" aca="1" ref="G88" ca="1">GetBusinessDate($F88,BusinessDayConv,IF(ISBLANK(HolidaySheet),HolidaySheet,INDIRECT("HolTbl"&amp;HolidaySheet&amp;"[Date]")))</f>
        <v>45005</v>
      </c>
      <c r="H88" s="56" t="str">
        <f ca="1">IF(OR(WEEKDAY($F88)=1,WEEKDAY($F88)=7),"Weekend",IFERROR(INDEX(INDIRECT("HolTbl"&amp;HolidaySheet&amp;"[Holiday]"),MATCH($F88,INDIRECT("HolTbl"&amp;HolidaySheet&amp;"[Date]"),0)),$G$10))</f>
        <v>Weekend</v>
      </c>
    </row>
    <row r="89" spans="6:8" x14ac:dyDescent="0.25">
      <c r="F89" s="55">
        <f t="shared" si="1"/>
        <v>45005</v>
      </c>
      <c r="G89" s="14" cm="1">
        <f t="array" aca="1" ref="G89" ca="1">GetBusinessDate($F89,BusinessDayConv,IF(ISBLANK(HolidaySheet),HolidaySheet,INDIRECT("HolTbl"&amp;HolidaySheet&amp;"[Date]")))</f>
        <v>45005</v>
      </c>
      <c r="H89" s="56" t="str">
        <f ca="1">IF(OR(WEEKDAY($F89)=1,WEEKDAY($F89)=7),"Weekend",IFERROR(INDEX(INDIRECT("HolTbl"&amp;HolidaySheet&amp;"[Holiday]"),MATCH($F89,INDIRECT("HolTbl"&amp;HolidaySheet&amp;"[Date]"),0)),$G$10))</f>
        <v>Good Business Date</v>
      </c>
    </row>
    <row r="90" spans="6:8" x14ac:dyDescent="0.25">
      <c r="F90" s="55">
        <f t="shared" si="1"/>
        <v>45006</v>
      </c>
      <c r="G90" s="14" cm="1">
        <f t="array" aca="1" ref="G90" ca="1">GetBusinessDate($F90,BusinessDayConv,IF(ISBLANK(HolidaySheet),HolidaySheet,INDIRECT("HolTbl"&amp;HolidaySheet&amp;"[Date]")))</f>
        <v>45006</v>
      </c>
      <c r="H90" s="56" t="str">
        <f ca="1">IF(OR(WEEKDAY($F90)=1,WEEKDAY($F90)=7),"Weekend",IFERROR(INDEX(INDIRECT("HolTbl"&amp;HolidaySheet&amp;"[Holiday]"),MATCH($F90,INDIRECT("HolTbl"&amp;HolidaySheet&amp;"[Date]"),0)),$G$10))</f>
        <v>Good Business Date</v>
      </c>
    </row>
    <row r="91" spans="6:8" x14ac:dyDescent="0.25">
      <c r="F91" s="55">
        <f t="shared" si="1"/>
        <v>45007</v>
      </c>
      <c r="G91" s="14" cm="1">
        <f t="array" aca="1" ref="G91" ca="1">GetBusinessDate($F91,BusinessDayConv,IF(ISBLANK(HolidaySheet),HolidaySheet,INDIRECT("HolTbl"&amp;HolidaySheet&amp;"[Date]")))</f>
        <v>45007</v>
      </c>
      <c r="H91" s="56" t="str">
        <f ca="1">IF(OR(WEEKDAY($F91)=1,WEEKDAY($F91)=7),"Weekend",IFERROR(INDEX(INDIRECT("HolTbl"&amp;HolidaySheet&amp;"[Holiday]"),MATCH($F91,INDIRECT("HolTbl"&amp;HolidaySheet&amp;"[Date]"),0)),$G$10))</f>
        <v>Good Business Date</v>
      </c>
    </row>
    <row r="92" spans="6:8" x14ac:dyDescent="0.25">
      <c r="F92" s="55">
        <f t="shared" si="1"/>
        <v>45008</v>
      </c>
      <c r="G92" s="14" cm="1">
        <f t="array" aca="1" ref="G92" ca="1">GetBusinessDate($F92,BusinessDayConv,IF(ISBLANK(HolidaySheet),HolidaySheet,INDIRECT("HolTbl"&amp;HolidaySheet&amp;"[Date]")))</f>
        <v>45008</v>
      </c>
      <c r="H92" s="56" t="str">
        <f ca="1">IF(OR(WEEKDAY($F92)=1,WEEKDAY($F92)=7),"Weekend",IFERROR(INDEX(INDIRECT("HolTbl"&amp;HolidaySheet&amp;"[Holiday]"),MATCH($F92,INDIRECT("HolTbl"&amp;HolidaySheet&amp;"[Date]"),0)),$G$10))</f>
        <v>Good Business Date</v>
      </c>
    </row>
    <row r="93" spans="6:8" x14ac:dyDescent="0.25">
      <c r="F93" s="55">
        <f t="shared" si="1"/>
        <v>45009</v>
      </c>
      <c r="G93" s="14" cm="1">
        <f t="array" aca="1" ref="G93" ca="1">GetBusinessDate($F93,BusinessDayConv,IF(ISBLANK(HolidaySheet),HolidaySheet,INDIRECT("HolTbl"&amp;HolidaySheet&amp;"[Date]")))</f>
        <v>45009</v>
      </c>
      <c r="H93" s="56" t="str">
        <f ca="1">IF(OR(WEEKDAY($F93)=1,WEEKDAY($F93)=7),"Weekend",IFERROR(INDEX(INDIRECT("HolTbl"&amp;HolidaySheet&amp;"[Holiday]"),MATCH($F93,INDIRECT("HolTbl"&amp;HolidaySheet&amp;"[Date]"),0)),$G$10))</f>
        <v>Good Business Date</v>
      </c>
    </row>
    <row r="94" spans="6:8" x14ac:dyDescent="0.25">
      <c r="F94" s="55">
        <f t="shared" si="1"/>
        <v>45010</v>
      </c>
      <c r="G94" s="14" cm="1">
        <f t="array" aca="1" ref="G94" ca="1">GetBusinessDate($F94,BusinessDayConv,IF(ISBLANK(HolidaySheet),HolidaySheet,INDIRECT("HolTbl"&amp;HolidaySheet&amp;"[Date]")))</f>
        <v>45012</v>
      </c>
      <c r="H94" s="56" t="str">
        <f ca="1">IF(OR(WEEKDAY($F94)=1,WEEKDAY($F94)=7),"Weekend",IFERROR(INDEX(INDIRECT("HolTbl"&amp;HolidaySheet&amp;"[Holiday]"),MATCH($F94,INDIRECT("HolTbl"&amp;HolidaySheet&amp;"[Date]"),0)),$G$10))</f>
        <v>Weekend</v>
      </c>
    </row>
    <row r="95" spans="6:8" x14ac:dyDescent="0.25">
      <c r="F95" s="55">
        <f t="shared" si="1"/>
        <v>45011</v>
      </c>
      <c r="G95" s="14" cm="1">
        <f t="array" aca="1" ref="G95" ca="1">GetBusinessDate($F95,BusinessDayConv,IF(ISBLANK(HolidaySheet),HolidaySheet,INDIRECT("HolTbl"&amp;HolidaySheet&amp;"[Date]")))</f>
        <v>45012</v>
      </c>
      <c r="H95" s="56" t="str">
        <f ca="1">IF(OR(WEEKDAY($F95)=1,WEEKDAY($F95)=7),"Weekend",IFERROR(INDEX(INDIRECT("HolTbl"&amp;HolidaySheet&amp;"[Holiday]"),MATCH($F95,INDIRECT("HolTbl"&amp;HolidaySheet&amp;"[Date]"),0)),$G$10))</f>
        <v>Weekend</v>
      </c>
    </row>
    <row r="96" spans="6:8" x14ac:dyDescent="0.25">
      <c r="F96" s="55">
        <f t="shared" si="1"/>
        <v>45012</v>
      </c>
      <c r="G96" s="14" cm="1">
        <f t="array" aca="1" ref="G96" ca="1">GetBusinessDate($F96,BusinessDayConv,IF(ISBLANK(HolidaySheet),HolidaySheet,INDIRECT("HolTbl"&amp;HolidaySheet&amp;"[Date]")))</f>
        <v>45012</v>
      </c>
      <c r="H96" s="56" t="str">
        <f ca="1">IF(OR(WEEKDAY($F96)=1,WEEKDAY($F96)=7),"Weekend",IFERROR(INDEX(INDIRECT("HolTbl"&amp;HolidaySheet&amp;"[Holiday]"),MATCH($F96,INDIRECT("HolTbl"&amp;HolidaySheet&amp;"[Date]"),0)),$G$10))</f>
        <v>Good Business Date</v>
      </c>
    </row>
    <row r="97" spans="6:8" x14ac:dyDescent="0.25">
      <c r="F97" s="55">
        <f t="shared" si="1"/>
        <v>45013</v>
      </c>
      <c r="G97" s="14" cm="1">
        <f t="array" aca="1" ref="G97" ca="1">GetBusinessDate($F97,BusinessDayConv,IF(ISBLANK(HolidaySheet),HolidaySheet,INDIRECT("HolTbl"&amp;HolidaySheet&amp;"[Date]")))</f>
        <v>45013</v>
      </c>
      <c r="H97" s="56" t="str">
        <f ca="1">IF(OR(WEEKDAY($F97)=1,WEEKDAY($F97)=7),"Weekend",IFERROR(INDEX(INDIRECT("HolTbl"&amp;HolidaySheet&amp;"[Holiday]"),MATCH($F97,INDIRECT("HolTbl"&amp;HolidaySheet&amp;"[Date]"),0)),$G$10))</f>
        <v>Good Business Date</v>
      </c>
    </row>
    <row r="98" spans="6:8" x14ac:dyDescent="0.25">
      <c r="F98" s="55">
        <f t="shared" si="1"/>
        <v>45014</v>
      </c>
      <c r="G98" s="14" cm="1">
        <f t="array" aca="1" ref="G98" ca="1">GetBusinessDate($F98,BusinessDayConv,IF(ISBLANK(HolidaySheet),HolidaySheet,INDIRECT("HolTbl"&amp;HolidaySheet&amp;"[Date]")))</f>
        <v>45014</v>
      </c>
      <c r="H98" s="56" t="str">
        <f ca="1">IF(OR(WEEKDAY($F98)=1,WEEKDAY($F98)=7),"Weekend",IFERROR(INDEX(INDIRECT("HolTbl"&amp;HolidaySheet&amp;"[Holiday]"),MATCH($F98,INDIRECT("HolTbl"&amp;HolidaySheet&amp;"[Date]"),0)),$G$10))</f>
        <v>Good Business Date</v>
      </c>
    </row>
    <row r="99" spans="6:8" x14ac:dyDescent="0.25">
      <c r="F99" s="55">
        <f t="shared" si="1"/>
        <v>45015</v>
      </c>
      <c r="G99" s="14" cm="1">
        <f t="array" aca="1" ref="G99" ca="1">GetBusinessDate($F99,BusinessDayConv,IF(ISBLANK(HolidaySheet),HolidaySheet,INDIRECT("HolTbl"&amp;HolidaySheet&amp;"[Date]")))</f>
        <v>45015</v>
      </c>
      <c r="H99" s="56" t="str">
        <f ca="1">IF(OR(WEEKDAY($F99)=1,WEEKDAY($F99)=7),"Weekend",IFERROR(INDEX(INDIRECT("HolTbl"&amp;HolidaySheet&amp;"[Holiday]"),MATCH($F99,INDIRECT("HolTbl"&amp;HolidaySheet&amp;"[Date]"),0)),$G$10))</f>
        <v>Good Business Date</v>
      </c>
    </row>
    <row r="100" spans="6:8" x14ac:dyDescent="0.25">
      <c r="F100" s="55">
        <f t="shared" si="1"/>
        <v>45016</v>
      </c>
      <c r="G100" s="14" cm="1">
        <f t="array" aca="1" ref="G100" ca="1">GetBusinessDate($F100,BusinessDayConv,IF(ISBLANK(HolidaySheet),HolidaySheet,INDIRECT("HolTbl"&amp;HolidaySheet&amp;"[Date]")))</f>
        <v>45016</v>
      </c>
      <c r="H100" s="56" t="str">
        <f ca="1">IF(OR(WEEKDAY($F100)=1,WEEKDAY($F100)=7),"Weekend",IFERROR(INDEX(INDIRECT("HolTbl"&amp;HolidaySheet&amp;"[Holiday]"),MATCH($F100,INDIRECT("HolTbl"&amp;HolidaySheet&amp;"[Date]"),0)),$G$10))</f>
        <v>Good Business Date</v>
      </c>
    </row>
    <row r="101" spans="6:8" x14ac:dyDescent="0.25">
      <c r="F101" s="55">
        <f t="shared" si="1"/>
        <v>45017</v>
      </c>
      <c r="G101" s="14" cm="1">
        <f t="array" aca="1" ref="G101" ca="1">GetBusinessDate($F101,BusinessDayConv,IF(ISBLANK(HolidaySheet),HolidaySheet,INDIRECT("HolTbl"&amp;HolidaySheet&amp;"[Date]")))</f>
        <v>45019</v>
      </c>
      <c r="H101" s="56" t="str">
        <f ca="1">IF(OR(WEEKDAY($F101)=1,WEEKDAY($F101)=7),"Weekend",IFERROR(INDEX(INDIRECT("HolTbl"&amp;HolidaySheet&amp;"[Holiday]"),MATCH($F101,INDIRECT("HolTbl"&amp;HolidaySheet&amp;"[Date]"),0)),$G$10))</f>
        <v>Weekend</v>
      </c>
    </row>
    <row r="102" spans="6:8" x14ac:dyDescent="0.25">
      <c r="F102" s="55">
        <f t="shared" si="1"/>
        <v>45018</v>
      </c>
      <c r="G102" s="14" cm="1">
        <f t="array" aca="1" ref="G102" ca="1">GetBusinessDate($F102,BusinessDayConv,IF(ISBLANK(HolidaySheet),HolidaySheet,INDIRECT("HolTbl"&amp;HolidaySheet&amp;"[Date]")))</f>
        <v>45019</v>
      </c>
      <c r="H102" s="56" t="str">
        <f ca="1">IF(OR(WEEKDAY($F102)=1,WEEKDAY($F102)=7),"Weekend",IFERROR(INDEX(INDIRECT("HolTbl"&amp;HolidaySheet&amp;"[Holiday]"),MATCH($F102,INDIRECT("HolTbl"&amp;HolidaySheet&amp;"[Date]"),0)),$G$10))</f>
        <v>Weekend</v>
      </c>
    </row>
    <row r="103" spans="6:8" x14ac:dyDescent="0.25">
      <c r="F103" s="55">
        <f t="shared" si="1"/>
        <v>45019</v>
      </c>
      <c r="G103" s="14" cm="1">
        <f t="array" aca="1" ref="G103" ca="1">GetBusinessDate($F103,BusinessDayConv,IF(ISBLANK(HolidaySheet),HolidaySheet,INDIRECT("HolTbl"&amp;HolidaySheet&amp;"[Date]")))</f>
        <v>45019</v>
      </c>
      <c r="H103" s="56" t="str">
        <f ca="1">IF(OR(WEEKDAY($F103)=1,WEEKDAY($F103)=7),"Weekend",IFERROR(INDEX(INDIRECT("HolTbl"&amp;HolidaySheet&amp;"[Holiday]"),MATCH($F103,INDIRECT("HolTbl"&amp;HolidaySheet&amp;"[Date]"),0)),$G$10))</f>
        <v>Good Business Date</v>
      </c>
    </row>
    <row r="104" spans="6:8" x14ac:dyDescent="0.25">
      <c r="F104" s="55">
        <f t="shared" si="1"/>
        <v>45020</v>
      </c>
      <c r="G104" s="14" cm="1">
        <f t="array" aca="1" ref="G104" ca="1">GetBusinessDate($F104,BusinessDayConv,IF(ISBLANK(HolidaySheet),HolidaySheet,INDIRECT("HolTbl"&amp;HolidaySheet&amp;"[Date]")))</f>
        <v>45020</v>
      </c>
      <c r="H104" s="56" t="str">
        <f ca="1">IF(OR(WEEKDAY($F104)=1,WEEKDAY($F104)=7),"Weekend",IFERROR(INDEX(INDIRECT("HolTbl"&amp;HolidaySheet&amp;"[Holiday]"),MATCH($F104,INDIRECT("HolTbl"&amp;HolidaySheet&amp;"[Date]"),0)),$G$10))</f>
        <v>Good Business Date</v>
      </c>
    </row>
    <row r="105" spans="6:8" x14ac:dyDescent="0.25">
      <c r="F105" s="55">
        <f t="shared" si="1"/>
        <v>45021</v>
      </c>
      <c r="G105" s="14" cm="1">
        <f t="array" aca="1" ref="G105" ca="1">GetBusinessDate($F105,BusinessDayConv,IF(ISBLANK(HolidaySheet),HolidaySheet,INDIRECT("HolTbl"&amp;HolidaySheet&amp;"[Date]")))</f>
        <v>45021</v>
      </c>
      <c r="H105" s="56" t="str">
        <f ca="1">IF(OR(WEEKDAY($F105)=1,WEEKDAY($F105)=7),"Weekend",IFERROR(INDEX(INDIRECT("HolTbl"&amp;HolidaySheet&amp;"[Holiday]"),MATCH($F105,INDIRECT("HolTbl"&amp;HolidaySheet&amp;"[Date]"),0)),$G$10))</f>
        <v>Good Business Date</v>
      </c>
    </row>
    <row r="106" spans="6:8" x14ac:dyDescent="0.25">
      <c r="F106" s="55">
        <f t="shared" si="1"/>
        <v>45022</v>
      </c>
      <c r="G106" s="14" cm="1">
        <f t="array" aca="1" ref="G106" ca="1">GetBusinessDate($F106,BusinessDayConv,IF(ISBLANK(HolidaySheet),HolidaySheet,INDIRECT("HolTbl"&amp;HolidaySheet&amp;"[Date]")))</f>
        <v>45022</v>
      </c>
      <c r="H106" s="56" t="str">
        <f ca="1">IF(OR(WEEKDAY($F106)=1,WEEKDAY($F106)=7),"Weekend",IFERROR(INDEX(INDIRECT("HolTbl"&amp;HolidaySheet&amp;"[Holiday]"),MATCH($F106,INDIRECT("HolTbl"&amp;HolidaySheet&amp;"[Date]"),0)),$G$10))</f>
        <v>Good Business Date</v>
      </c>
    </row>
    <row r="107" spans="6:8" x14ac:dyDescent="0.25">
      <c r="F107" s="55">
        <f t="shared" si="1"/>
        <v>45023</v>
      </c>
      <c r="G107" s="14" cm="1">
        <f t="array" aca="1" ref="G107" ca="1">GetBusinessDate($F107,BusinessDayConv,IF(ISBLANK(HolidaySheet),HolidaySheet,INDIRECT("HolTbl"&amp;HolidaySheet&amp;"[Date]")))</f>
        <v>45026</v>
      </c>
      <c r="H107" s="56" t="str">
        <f ca="1">IF(OR(WEEKDAY($F107)=1,WEEKDAY($F107)=7),"Weekend",IFERROR(INDEX(INDIRECT("HolTbl"&amp;HolidaySheet&amp;"[Holiday]"),MATCH($F107,INDIRECT("HolTbl"&amp;HolidaySheet&amp;"[Date]"),0)),$G$10))</f>
        <v>Good Friday</v>
      </c>
    </row>
    <row r="108" spans="6:8" x14ac:dyDescent="0.25">
      <c r="F108" s="55">
        <f t="shared" si="1"/>
        <v>45024</v>
      </c>
      <c r="G108" s="14" cm="1">
        <f t="array" aca="1" ref="G108" ca="1">GetBusinessDate($F108,BusinessDayConv,IF(ISBLANK(HolidaySheet),HolidaySheet,INDIRECT("HolTbl"&amp;HolidaySheet&amp;"[Date]")))</f>
        <v>45026</v>
      </c>
      <c r="H108" s="56" t="str">
        <f ca="1">IF(OR(WEEKDAY($F108)=1,WEEKDAY($F108)=7),"Weekend",IFERROR(INDEX(INDIRECT("HolTbl"&amp;HolidaySheet&amp;"[Holiday]"),MATCH($F108,INDIRECT("HolTbl"&amp;HolidaySheet&amp;"[Date]"),0)),$G$10))</f>
        <v>Weekend</v>
      </c>
    </row>
    <row r="109" spans="6:8" x14ac:dyDescent="0.25">
      <c r="F109" s="55">
        <f t="shared" si="1"/>
        <v>45025</v>
      </c>
      <c r="G109" s="14" cm="1">
        <f t="array" aca="1" ref="G109" ca="1">GetBusinessDate($F109,BusinessDayConv,IF(ISBLANK(HolidaySheet),HolidaySheet,INDIRECT("HolTbl"&amp;HolidaySheet&amp;"[Date]")))</f>
        <v>45026</v>
      </c>
      <c r="H109" s="56" t="str">
        <f ca="1">IF(OR(WEEKDAY($F109)=1,WEEKDAY($F109)=7),"Weekend",IFERROR(INDEX(INDIRECT("HolTbl"&amp;HolidaySheet&amp;"[Holiday]"),MATCH($F109,INDIRECT("HolTbl"&amp;HolidaySheet&amp;"[Date]"),0)),$G$10))</f>
        <v>Weekend</v>
      </c>
    </row>
    <row r="110" spans="6:8" x14ac:dyDescent="0.25">
      <c r="F110" s="55">
        <f t="shared" si="1"/>
        <v>45026</v>
      </c>
      <c r="G110" s="14" cm="1">
        <f t="array" aca="1" ref="G110" ca="1">GetBusinessDate($F110,BusinessDayConv,IF(ISBLANK(HolidaySheet),HolidaySheet,INDIRECT("HolTbl"&amp;HolidaySheet&amp;"[Date]")))</f>
        <v>45026</v>
      </c>
      <c r="H110" s="56" t="str">
        <f ca="1">IF(OR(WEEKDAY($F110)=1,WEEKDAY($F110)=7),"Weekend",IFERROR(INDEX(INDIRECT("HolTbl"&amp;HolidaySheet&amp;"[Holiday]"),MATCH($F110,INDIRECT("HolTbl"&amp;HolidaySheet&amp;"[Date]"),0)),$G$10))</f>
        <v>Good Business Date</v>
      </c>
    </row>
    <row r="111" spans="6:8" x14ac:dyDescent="0.25">
      <c r="F111" s="55">
        <f t="shared" si="1"/>
        <v>45027</v>
      </c>
      <c r="G111" s="14" cm="1">
        <f t="array" aca="1" ref="G111" ca="1">GetBusinessDate($F111,BusinessDayConv,IF(ISBLANK(HolidaySheet),HolidaySheet,INDIRECT("HolTbl"&amp;HolidaySheet&amp;"[Date]")))</f>
        <v>45027</v>
      </c>
      <c r="H111" s="56" t="str">
        <f ca="1">IF(OR(WEEKDAY($F111)=1,WEEKDAY($F111)=7),"Weekend",IFERROR(INDEX(INDIRECT("HolTbl"&amp;HolidaySheet&amp;"[Holiday]"),MATCH($F111,INDIRECT("HolTbl"&amp;HolidaySheet&amp;"[Date]"),0)),$G$10))</f>
        <v>Good Business Date</v>
      </c>
    </row>
    <row r="112" spans="6:8" x14ac:dyDescent="0.25">
      <c r="F112" s="55">
        <f t="shared" si="1"/>
        <v>45028</v>
      </c>
      <c r="G112" s="14" cm="1">
        <f t="array" aca="1" ref="G112" ca="1">GetBusinessDate($F112,BusinessDayConv,IF(ISBLANK(HolidaySheet),HolidaySheet,INDIRECT("HolTbl"&amp;HolidaySheet&amp;"[Date]")))</f>
        <v>45028</v>
      </c>
      <c r="H112" s="56" t="str">
        <f ca="1">IF(OR(WEEKDAY($F112)=1,WEEKDAY($F112)=7),"Weekend",IFERROR(INDEX(INDIRECT("HolTbl"&amp;HolidaySheet&amp;"[Holiday]"),MATCH($F112,INDIRECT("HolTbl"&amp;HolidaySheet&amp;"[Date]"),0)),$G$10))</f>
        <v>Good Business Date</v>
      </c>
    </row>
    <row r="113" spans="6:8" x14ac:dyDescent="0.25">
      <c r="F113" s="55">
        <f t="shared" si="1"/>
        <v>45029</v>
      </c>
      <c r="G113" s="14" cm="1">
        <f t="array" aca="1" ref="G113" ca="1">GetBusinessDate($F113,BusinessDayConv,IF(ISBLANK(HolidaySheet),HolidaySheet,INDIRECT("HolTbl"&amp;HolidaySheet&amp;"[Date]")))</f>
        <v>45029</v>
      </c>
      <c r="H113" s="56" t="str">
        <f ca="1">IF(OR(WEEKDAY($F113)=1,WEEKDAY($F113)=7),"Weekend",IFERROR(INDEX(INDIRECT("HolTbl"&amp;HolidaySheet&amp;"[Holiday]"),MATCH($F113,INDIRECT("HolTbl"&amp;HolidaySheet&amp;"[Date]"),0)),$G$10))</f>
        <v>Good Business Date</v>
      </c>
    </row>
    <row r="114" spans="6:8" x14ac:dyDescent="0.25">
      <c r="F114" s="55">
        <f t="shared" si="1"/>
        <v>45030</v>
      </c>
      <c r="G114" s="14" cm="1">
        <f t="array" aca="1" ref="G114" ca="1">GetBusinessDate($F114,BusinessDayConv,IF(ISBLANK(HolidaySheet),HolidaySheet,INDIRECT("HolTbl"&amp;HolidaySheet&amp;"[Date]")))</f>
        <v>45030</v>
      </c>
      <c r="H114" s="56" t="str">
        <f ca="1">IF(OR(WEEKDAY($F114)=1,WEEKDAY($F114)=7),"Weekend",IFERROR(INDEX(INDIRECT("HolTbl"&amp;HolidaySheet&amp;"[Holiday]"),MATCH($F114,INDIRECT("HolTbl"&amp;HolidaySheet&amp;"[Date]"),0)),$G$10))</f>
        <v>Good Business Date</v>
      </c>
    </row>
    <row r="115" spans="6:8" x14ac:dyDescent="0.25">
      <c r="F115" s="55">
        <f t="shared" si="1"/>
        <v>45031</v>
      </c>
      <c r="G115" s="14" cm="1">
        <f t="array" aca="1" ref="G115" ca="1">GetBusinessDate($F115,BusinessDayConv,IF(ISBLANK(HolidaySheet),HolidaySheet,INDIRECT("HolTbl"&amp;HolidaySheet&amp;"[Date]")))</f>
        <v>45033</v>
      </c>
      <c r="H115" s="56" t="str">
        <f ca="1">IF(OR(WEEKDAY($F115)=1,WEEKDAY($F115)=7),"Weekend",IFERROR(INDEX(INDIRECT("HolTbl"&amp;HolidaySheet&amp;"[Holiday]"),MATCH($F115,INDIRECT("HolTbl"&amp;HolidaySheet&amp;"[Date]"),0)),$G$10))</f>
        <v>Weekend</v>
      </c>
    </row>
    <row r="116" spans="6:8" x14ac:dyDescent="0.25">
      <c r="F116" s="55">
        <f t="shared" si="1"/>
        <v>45032</v>
      </c>
      <c r="G116" s="14" cm="1">
        <f t="array" aca="1" ref="G116" ca="1">GetBusinessDate($F116,BusinessDayConv,IF(ISBLANK(HolidaySheet),HolidaySheet,INDIRECT("HolTbl"&amp;HolidaySheet&amp;"[Date]")))</f>
        <v>45033</v>
      </c>
      <c r="H116" s="56" t="str">
        <f ca="1">IF(OR(WEEKDAY($F116)=1,WEEKDAY($F116)=7),"Weekend",IFERROR(INDEX(INDIRECT("HolTbl"&amp;HolidaySheet&amp;"[Holiday]"),MATCH($F116,INDIRECT("HolTbl"&amp;HolidaySheet&amp;"[Date]"),0)),$G$10))</f>
        <v>Weekend</v>
      </c>
    </row>
    <row r="117" spans="6:8" x14ac:dyDescent="0.25">
      <c r="F117" s="55">
        <f t="shared" si="1"/>
        <v>45033</v>
      </c>
      <c r="G117" s="14" cm="1">
        <f t="array" aca="1" ref="G117" ca="1">GetBusinessDate($F117,BusinessDayConv,IF(ISBLANK(HolidaySheet),HolidaySheet,INDIRECT("HolTbl"&amp;HolidaySheet&amp;"[Date]")))</f>
        <v>45033</v>
      </c>
      <c r="H117" s="56" t="str">
        <f ca="1">IF(OR(WEEKDAY($F117)=1,WEEKDAY($F117)=7),"Weekend",IFERROR(INDEX(INDIRECT("HolTbl"&amp;HolidaySheet&amp;"[Holiday]"),MATCH($F117,INDIRECT("HolTbl"&amp;HolidaySheet&amp;"[Date]"),0)),$G$10))</f>
        <v>Good Business Date</v>
      </c>
    </row>
    <row r="118" spans="6:8" x14ac:dyDescent="0.25">
      <c r="F118" s="55">
        <f t="shared" si="1"/>
        <v>45034</v>
      </c>
      <c r="G118" s="14" cm="1">
        <f t="array" aca="1" ref="G118" ca="1">GetBusinessDate($F118,BusinessDayConv,IF(ISBLANK(HolidaySheet),HolidaySheet,INDIRECT("HolTbl"&amp;HolidaySheet&amp;"[Date]")))</f>
        <v>45034</v>
      </c>
      <c r="H118" s="56" t="str">
        <f ca="1">IF(OR(WEEKDAY($F118)=1,WEEKDAY($F118)=7),"Weekend",IFERROR(INDEX(INDIRECT("HolTbl"&amp;HolidaySheet&amp;"[Holiday]"),MATCH($F118,INDIRECT("HolTbl"&amp;HolidaySheet&amp;"[Date]"),0)),$G$10))</f>
        <v>Good Business Date</v>
      </c>
    </row>
    <row r="119" spans="6:8" x14ac:dyDescent="0.25">
      <c r="F119" s="55">
        <f t="shared" si="1"/>
        <v>45035</v>
      </c>
      <c r="G119" s="14" cm="1">
        <f t="array" aca="1" ref="G119" ca="1">GetBusinessDate($F119,BusinessDayConv,IF(ISBLANK(HolidaySheet),HolidaySheet,INDIRECT("HolTbl"&amp;HolidaySheet&amp;"[Date]")))</f>
        <v>45035</v>
      </c>
      <c r="H119" s="56" t="str">
        <f ca="1">IF(OR(WEEKDAY($F119)=1,WEEKDAY($F119)=7),"Weekend",IFERROR(INDEX(INDIRECT("HolTbl"&amp;HolidaySheet&amp;"[Holiday]"),MATCH($F119,INDIRECT("HolTbl"&amp;HolidaySheet&amp;"[Date]"),0)),$G$10))</f>
        <v>Good Business Date</v>
      </c>
    </row>
    <row r="120" spans="6:8" x14ac:dyDescent="0.25">
      <c r="F120" s="55">
        <f t="shared" si="1"/>
        <v>45036</v>
      </c>
      <c r="G120" s="14" cm="1">
        <f t="array" aca="1" ref="G120" ca="1">GetBusinessDate($F120,BusinessDayConv,IF(ISBLANK(HolidaySheet),HolidaySheet,INDIRECT("HolTbl"&amp;HolidaySheet&amp;"[Date]")))</f>
        <v>45036</v>
      </c>
      <c r="H120" s="56" t="str">
        <f ca="1">IF(OR(WEEKDAY($F120)=1,WEEKDAY($F120)=7),"Weekend",IFERROR(INDEX(INDIRECT("HolTbl"&amp;HolidaySheet&amp;"[Holiday]"),MATCH($F120,INDIRECT("HolTbl"&amp;HolidaySheet&amp;"[Date]"),0)),$G$10))</f>
        <v>Good Business Date</v>
      </c>
    </row>
    <row r="121" spans="6:8" x14ac:dyDescent="0.25">
      <c r="F121" s="55">
        <f t="shared" si="1"/>
        <v>45037</v>
      </c>
      <c r="G121" s="14" cm="1">
        <f t="array" aca="1" ref="G121" ca="1">GetBusinessDate($F121,BusinessDayConv,IF(ISBLANK(HolidaySheet),HolidaySheet,INDIRECT("HolTbl"&amp;HolidaySheet&amp;"[Date]")))</f>
        <v>45037</v>
      </c>
      <c r="H121" s="56" t="str">
        <f ca="1">IF(OR(WEEKDAY($F121)=1,WEEKDAY($F121)=7),"Weekend",IFERROR(INDEX(INDIRECT("HolTbl"&amp;HolidaySheet&amp;"[Holiday]"),MATCH($F121,INDIRECT("HolTbl"&amp;HolidaySheet&amp;"[Date]"),0)),$G$10))</f>
        <v>Good Business Date</v>
      </c>
    </row>
    <row r="122" spans="6:8" x14ac:dyDescent="0.25">
      <c r="F122" s="55">
        <f t="shared" si="1"/>
        <v>45038</v>
      </c>
      <c r="G122" s="14" cm="1">
        <f t="array" aca="1" ref="G122" ca="1">GetBusinessDate($F122,BusinessDayConv,IF(ISBLANK(HolidaySheet),HolidaySheet,INDIRECT("HolTbl"&amp;HolidaySheet&amp;"[Date]")))</f>
        <v>45040</v>
      </c>
      <c r="H122" s="56" t="str">
        <f ca="1">IF(OR(WEEKDAY($F122)=1,WEEKDAY($F122)=7),"Weekend",IFERROR(INDEX(INDIRECT("HolTbl"&amp;HolidaySheet&amp;"[Holiday]"),MATCH($F122,INDIRECT("HolTbl"&amp;HolidaySheet&amp;"[Date]"),0)),$G$10))</f>
        <v>Weekend</v>
      </c>
    </row>
    <row r="123" spans="6:8" x14ac:dyDescent="0.25">
      <c r="F123" s="55">
        <f t="shared" si="1"/>
        <v>45039</v>
      </c>
      <c r="G123" s="14" cm="1">
        <f t="array" aca="1" ref="G123" ca="1">GetBusinessDate($F123,BusinessDayConv,IF(ISBLANK(HolidaySheet),HolidaySheet,INDIRECT("HolTbl"&amp;HolidaySheet&amp;"[Date]")))</f>
        <v>45040</v>
      </c>
      <c r="H123" s="56" t="str">
        <f ca="1">IF(OR(WEEKDAY($F123)=1,WEEKDAY($F123)=7),"Weekend",IFERROR(INDEX(INDIRECT("HolTbl"&amp;HolidaySheet&amp;"[Holiday]"),MATCH($F123,INDIRECT("HolTbl"&amp;HolidaySheet&amp;"[Date]"),0)),$G$10))</f>
        <v>Weekend</v>
      </c>
    </row>
    <row r="124" spans="6:8" x14ac:dyDescent="0.25">
      <c r="F124" s="55">
        <f t="shared" si="1"/>
        <v>45040</v>
      </c>
      <c r="G124" s="14" cm="1">
        <f t="array" aca="1" ref="G124" ca="1">GetBusinessDate($F124,BusinessDayConv,IF(ISBLANK(HolidaySheet),HolidaySheet,INDIRECT("HolTbl"&amp;HolidaySheet&amp;"[Date]")))</f>
        <v>45040</v>
      </c>
      <c r="H124" s="56" t="str">
        <f ca="1">IF(OR(WEEKDAY($F124)=1,WEEKDAY($F124)=7),"Weekend",IFERROR(INDEX(INDIRECT("HolTbl"&amp;HolidaySheet&amp;"[Holiday]"),MATCH($F124,INDIRECT("HolTbl"&amp;HolidaySheet&amp;"[Date]"),0)),$G$10))</f>
        <v>Good Business Date</v>
      </c>
    </row>
    <row r="125" spans="6:8" x14ac:dyDescent="0.25">
      <c r="F125" s="55">
        <f t="shared" si="1"/>
        <v>45041</v>
      </c>
      <c r="G125" s="14" cm="1">
        <f t="array" aca="1" ref="G125" ca="1">GetBusinessDate($F125,BusinessDayConv,IF(ISBLANK(HolidaySheet),HolidaySheet,INDIRECT("HolTbl"&amp;HolidaySheet&amp;"[Date]")))</f>
        <v>45041</v>
      </c>
      <c r="H125" s="56" t="str">
        <f ca="1">IF(OR(WEEKDAY($F125)=1,WEEKDAY($F125)=7),"Weekend",IFERROR(INDEX(INDIRECT("HolTbl"&amp;HolidaySheet&amp;"[Holiday]"),MATCH($F125,INDIRECT("HolTbl"&amp;HolidaySheet&amp;"[Date]"),0)),$G$10))</f>
        <v>Good Business Date</v>
      </c>
    </row>
    <row r="126" spans="6:8" x14ac:dyDescent="0.25">
      <c r="F126" s="55">
        <f t="shared" si="1"/>
        <v>45042</v>
      </c>
      <c r="G126" s="14" cm="1">
        <f t="array" aca="1" ref="G126" ca="1">GetBusinessDate($F126,BusinessDayConv,IF(ISBLANK(HolidaySheet),HolidaySheet,INDIRECT("HolTbl"&amp;HolidaySheet&amp;"[Date]")))</f>
        <v>45042</v>
      </c>
      <c r="H126" s="56" t="str">
        <f ca="1">IF(OR(WEEKDAY($F126)=1,WEEKDAY($F126)=7),"Weekend",IFERROR(INDEX(INDIRECT("HolTbl"&amp;HolidaySheet&amp;"[Holiday]"),MATCH($F126,INDIRECT("HolTbl"&amp;HolidaySheet&amp;"[Date]"),0)),$G$10))</f>
        <v>Good Business Date</v>
      </c>
    </row>
    <row r="127" spans="6:8" x14ac:dyDescent="0.25">
      <c r="F127" s="55">
        <f t="shared" si="1"/>
        <v>45043</v>
      </c>
      <c r="G127" s="14" cm="1">
        <f t="array" aca="1" ref="G127" ca="1">GetBusinessDate($F127,BusinessDayConv,IF(ISBLANK(HolidaySheet),HolidaySheet,INDIRECT("HolTbl"&amp;HolidaySheet&amp;"[Date]")))</f>
        <v>45043</v>
      </c>
      <c r="H127" s="56" t="str">
        <f ca="1">IF(OR(WEEKDAY($F127)=1,WEEKDAY($F127)=7),"Weekend",IFERROR(INDEX(INDIRECT("HolTbl"&amp;HolidaySheet&amp;"[Holiday]"),MATCH($F127,INDIRECT("HolTbl"&amp;HolidaySheet&amp;"[Date]"),0)),$G$10))</f>
        <v>Good Business Date</v>
      </c>
    </row>
    <row r="128" spans="6:8" x14ac:dyDescent="0.25">
      <c r="F128" s="55">
        <f t="shared" si="1"/>
        <v>45044</v>
      </c>
      <c r="G128" s="14" cm="1">
        <f t="array" aca="1" ref="G128" ca="1">GetBusinessDate($F128,BusinessDayConv,IF(ISBLANK(HolidaySheet),HolidaySheet,INDIRECT("HolTbl"&amp;HolidaySheet&amp;"[Date]")))</f>
        <v>45044</v>
      </c>
      <c r="H128" s="56" t="str">
        <f ca="1">IF(OR(WEEKDAY($F128)=1,WEEKDAY($F128)=7),"Weekend",IFERROR(INDEX(INDIRECT("HolTbl"&amp;HolidaySheet&amp;"[Holiday]"),MATCH($F128,INDIRECT("HolTbl"&amp;HolidaySheet&amp;"[Date]"),0)),$G$10))</f>
        <v>Good Business Date</v>
      </c>
    </row>
    <row r="129" spans="6:8" x14ac:dyDescent="0.25">
      <c r="F129" s="55">
        <f t="shared" si="1"/>
        <v>45045</v>
      </c>
      <c r="G129" s="14" cm="1">
        <f t="array" aca="1" ref="G129" ca="1">GetBusinessDate($F129,BusinessDayConv,IF(ISBLANK(HolidaySheet),HolidaySheet,INDIRECT("HolTbl"&amp;HolidaySheet&amp;"[Date]")))</f>
        <v>45044</v>
      </c>
      <c r="H129" s="56" t="str">
        <f ca="1">IF(OR(WEEKDAY($F129)=1,WEEKDAY($F129)=7),"Weekend",IFERROR(INDEX(INDIRECT("HolTbl"&amp;HolidaySheet&amp;"[Holiday]"),MATCH($F129,INDIRECT("HolTbl"&amp;HolidaySheet&amp;"[Date]"),0)),$G$10))</f>
        <v>Weekend</v>
      </c>
    </row>
    <row r="130" spans="6:8" x14ac:dyDescent="0.25">
      <c r="F130" s="55">
        <f t="shared" si="1"/>
        <v>45046</v>
      </c>
      <c r="G130" s="14" cm="1">
        <f t="array" aca="1" ref="G130" ca="1">GetBusinessDate($F130,BusinessDayConv,IF(ISBLANK(HolidaySheet),HolidaySheet,INDIRECT("HolTbl"&amp;HolidaySheet&amp;"[Date]")))</f>
        <v>45044</v>
      </c>
      <c r="H130" s="56" t="str">
        <f ca="1">IF(OR(WEEKDAY($F130)=1,WEEKDAY($F130)=7),"Weekend",IFERROR(INDEX(INDIRECT("HolTbl"&amp;HolidaySheet&amp;"[Holiday]"),MATCH($F130,INDIRECT("HolTbl"&amp;HolidaySheet&amp;"[Date]"),0)),$G$10))</f>
        <v>Weekend</v>
      </c>
    </row>
    <row r="131" spans="6:8" x14ac:dyDescent="0.25">
      <c r="F131" s="55">
        <f t="shared" si="1"/>
        <v>45047</v>
      </c>
      <c r="G131" s="14" cm="1">
        <f t="array" aca="1" ref="G131" ca="1">GetBusinessDate($F131,BusinessDayConv,IF(ISBLANK(HolidaySheet),HolidaySheet,INDIRECT("HolTbl"&amp;HolidaySheet&amp;"[Date]")))</f>
        <v>45047</v>
      </c>
      <c r="H131" s="56" t="str">
        <f ca="1">IF(OR(WEEKDAY($F131)=1,WEEKDAY($F131)=7),"Weekend",IFERROR(INDEX(INDIRECT("HolTbl"&amp;HolidaySheet&amp;"[Holiday]"),MATCH($F131,INDIRECT("HolTbl"&amp;HolidaySheet&amp;"[Date]"),0)),$G$10))</f>
        <v>Good Business Date</v>
      </c>
    </row>
    <row r="132" spans="6:8" x14ac:dyDescent="0.25">
      <c r="F132" s="55">
        <f t="shared" si="1"/>
        <v>45048</v>
      </c>
      <c r="G132" s="14" cm="1">
        <f t="array" aca="1" ref="G132" ca="1">GetBusinessDate($F132,BusinessDayConv,IF(ISBLANK(HolidaySheet),HolidaySheet,INDIRECT("HolTbl"&amp;HolidaySheet&amp;"[Date]")))</f>
        <v>45048</v>
      </c>
      <c r="H132" s="56" t="str">
        <f ca="1">IF(OR(WEEKDAY($F132)=1,WEEKDAY($F132)=7),"Weekend",IFERROR(INDEX(INDIRECT("HolTbl"&amp;HolidaySheet&amp;"[Holiday]"),MATCH($F132,INDIRECT("HolTbl"&amp;HolidaySheet&amp;"[Date]"),0)),$G$10))</f>
        <v>Good Business Date</v>
      </c>
    </row>
    <row r="133" spans="6:8" x14ac:dyDescent="0.25">
      <c r="F133" s="55">
        <f t="shared" si="1"/>
        <v>45049</v>
      </c>
      <c r="G133" s="14" cm="1">
        <f t="array" aca="1" ref="G133" ca="1">GetBusinessDate($F133,BusinessDayConv,IF(ISBLANK(HolidaySheet),HolidaySheet,INDIRECT("HolTbl"&amp;HolidaySheet&amp;"[Date]")))</f>
        <v>45049</v>
      </c>
      <c r="H133" s="56" t="str">
        <f ca="1">IF(OR(WEEKDAY($F133)=1,WEEKDAY($F133)=7),"Weekend",IFERROR(INDEX(INDIRECT("HolTbl"&amp;HolidaySheet&amp;"[Holiday]"),MATCH($F133,INDIRECT("HolTbl"&amp;HolidaySheet&amp;"[Date]"),0)),$G$10))</f>
        <v>Good Business Date</v>
      </c>
    </row>
    <row r="134" spans="6:8" x14ac:dyDescent="0.25">
      <c r="F134" s="55">
        <f t="shared" si="1"/>
        <v>45050</v>
      </c>
      <c r="G134" s="14" cm="1">
        <f t="array" aca="1" ref="G134" ca="1">GetBusinessDate($F134,BusinessDayConv,IF(ISBLANK(HolidaySheet),HolidaySheet,INDIRECT("HolTbl"&amp;HolidaySheet&amp;"[Date]")))</f>
        <v>45050</v>
      </c>
      <c r="H134" s="56" t="str">
        <f ca="1">IF(OR(WEEKDAY($F134)=1,WEEKDAY($F134)=7),"Weekend",IFERROR(INDEX(INDIRECT("HolTbl"&amp;HolidaySheet&amp;"[Holiday]"),MATCH($F134,INDIRECT("HolTbl"&amp;HolidaySheet&amp;"[Date]"),0)),$G$10))</f>
        <v>Good Business Date</v>
      </c>
    </row>
    <row r="135" spans="6:8" x14ac:dyDescent="0.25">
      <c r="F135" s="55">
        <f t="shared" si="1"/>
        <v>45051</v>
      </c>
      <c r="G135" s="14" cm="1">
        <f t="array" aca="1" ref="G135" ca="1">GetBusinessDate($F135,BusinessDayConv,IF(ISBLANK(HolidaySheet),HolidaySheet,INDIRECT("HolTbl"&amp;HolidaySheet&amp;"[Date]")))</f>
        <v>45051</v>
      </c>
      <c r="H135" s="56" t="str">
        <f ca="1">IF(OR(WEEKDAY($F135)=1,WEEKDAY($F135)=7),"Weekend",IFERROR(INDEX(INDIRECT("HolTbl"&amp;HolidaySheet&amp;"[Holiday]"),MATCH($F135,INDIRECT("HolTbl"&amp;HolidaySheet&amp;"[Date]"),0)),$G$10))</f>
        <v>Good Business Date</v>
      </c>
    </row>
    <row r="136" spans="6:8" x14ac:dyDescent="0.25">
      <c r="F136" s="55">
        <f t="shared" si="1"/>
        <v>45052</v>
      </c>
      <c r="G136" s="14" cm="1">
        <f t="array" aca="1" ref="G136" ca="1">GetBusinessDate($F136,BusinessDayConv,IF(ISBLANK(HolidaySheet),HolidaySheet,INDIRECT("HolTbl"&amp;HolidaySheet&amp;"[Date]")))</f>
        <v>45054</v>
      </c>
      <c r="H136" s="56" t="str">
        <f ca="1">IF(OR(WEEKDAY($F136)=1,WEEKDAY($F136)=7),"Weekend",IFERROR(INDEX(INDIRECT("HolTbl"&amp;HolidaySheet&amp;"[Holiday]"),MATCH($F136,INDIRECT("HolTbl"&amp;HolidaySheet&amp;"[Date]"),0)),$G$10))</f>
        <v>Weekend</v>
      </c>
    </row>
    <row r="137" spans="6:8" x14ac:dyDescent="0.25">
      <c r="F137" s="55">
        <f t="shared" si="1"/>
        <v>45053</v>
      </c>
      <c r="G137" s="14" cm="1">
        <f t="array" aca="1" ref="G137" ca="1">GetBusinessDate($F137,BusinessDayConv,IF(ISBLANK(HolidaySheet),HolidaySheet,INDIRECT("HolTbl"&amp;HolidaySheet&amp;"[Date]")))</f>
        <v>45054</v>
      </c>
      <c r="H137" s="56" t="str">
        <f ca="1">IF(OR(WEEKDAY($F137)=1,WEEKDAY($F137)=7),"Weekend",IFERROR(INDEX(INDIRECT("HolTbl"&amp;HolidaySheet&amp;"[Holiday]"),MATCH($F137,INDIRECT("HolTbl"&amp;HolidaySheet&amp;"[Date]"),0)),$G$10))</f>
        <v>Weekend</v>
      </c>
    </row>
    <row r="138" spans="6:8" x14ac:dyDescent="0.25">
      <c r="F138" s="55">
        <f t="shared" si="1"/>
        <v>45054</v>
      </c>
      <c r="G138" s="14" cm="1">
        <f t="array" aca="1" ref="G138" ca="1">GetBusinessDate($F138,BusinessDayConv,IF(ISBLANK(HolidaySheet),HolidaySheet,INDIRECT("HolTbl"&amp;HolidaySheet&amp;"[Date]")))</f>
        <v>45054</v>
      </c>
      <c r="H138" s="56" t="str">
        <f ca="1">IF(OR(WEEKDAY($F138)=1,WEEKDAY($F138)=7),"Weekend",IFERROR(INDEX(INDIRECT("HolTbl"&amp;HolidaySheet&amp;"[Holiday]"),MATCH($F138,INDIRECT("HolTbl"&amp;HolidaySheet&amp;"[Date]"),0)),$G$10))</f>
        <v>Good Business Date</v>
      </c>
    </row>
    <row r="139" spans="6:8" x14ac:dyDescent="0.25">
      <c r="F139" s="55">
        <f t="shared" si="1"/>
        <v>45055</v>
      </c>
      <c r="G139" s="14" cm="1">
        <f t="array" aca="1" ref="G139" ca="1">GetBusinessDate($F139,BusinessDayConv,IF(ISBLANK(HolidaySheet),HolidaySheet,INDIRECT("HolTbl"&amp;HolidaySheet&amp;"[Date]")))</f>
        <v>45055</v>
      </c>
      <c r="H139" s="56" t="str">
        <f ca="1">IF(OR(WEEKDAY($F139)=1,WEEKDAY($F139)=7),"Weekend",IFERROR(INDEX(INDIRECT("HolTbl"&amp;HolidaySheet&amp;"[Holiday]"),MATCH($F139,INDIRECT("HolTbl"&amp;HolidaySheet&amp;"[Date]"),0)),$G$10))</f>
        <v>Good Business Date</v>
      </c>
    </row>
    <row r="140" spans="6:8" x14ac:dyDescent="0.25">
      <c r="F140" s="55">
        <f t="shared" si="1"/>
        <v>45056</v>
      </c>
      <c r="G140" s="14" cm="1">
        <f t="array" aca="1" ref="G140" ca="1">GetBusinessDate($F140,BusinessDayConv,IF(ISBLANK(HolidaySheet),HolidaySheet,INDIRECT("HolTbl"&amp;HolidaySheet&amp;"[Date]")))</f>
        <v>45056</v>
      </c>
      <c r="H140" s="56" t="str">
        <f ca="1">IF(OR(WEEKDAY($F140)=1,WEEKDAY($F140)=7),"Weekend",IFERROR(INDEX(INDIRECT("HolTbl"&amp;HolidaySheet&amp;"[Holiday]"),MATCH($F140,INDIRECT("HolTbl"&amp;HolidaySheet&amp;"[Date]"),0)),$G$10))</f>
        <v>Good Business Date</v>
      </c>
    </row>
    <row r="141" spans="6:8" x14ac:dyDescent="0.25">
      <c r="F141" s="55">
        <f t="shared" ref="F141:F204" si="2">F140+1</f>
        <v>45057</v>
      </c>
      <c r="G141" s="14" cm="1">
        <f t="array" aca="1" ref="G141" ca="1">GetBusinessDate($F141,BusinessDayConv,IF(ISBLANK(HolidaySheet),HolidaySheet,INDIRECT("HolTbl"&amp;HolidaySheet&amp;"[Date]")))</f>
        <v>45057</v>
      </c>
      <c r="H141" s="56" t="str">
        <f ca="1">IF(OR(WEEKDAY($F141)=1,WEEKDAY($F141)=7),"Weekend",IFERROR(INDEX(INDIRECT("HolTbl"&amp;HolidaySheet&amp;"[Holiday]"),MATCH($F141,INDIRECT("HolTbl"&amp;HolidaySheet&amp;"[Date]"),0)),$G$10))</f>
        <v>Good Business Date</v>
      </c>
    </row>
    <row r="142" spans="6:8" x14ac:dyDescent="0.25">
      <c r="F142" s="55">
        <f t="shared" si="2"/>
        <v>45058</v>
      </c>
      <c r="G142" s="14" cm="1">
        <f t="array" aca="1" ref="G142" ca="1">GetBusinessDate($F142,BusinessDayConv,IF(ISBLANK(HolidaySheet),HolidaySheet,INDIRECT("HolTbl"&amp;HolidaySheet&amp;"[Date]")))</f>
        <v>45058</v>
      </c>
      <c r="H142" s="56" t="str">
        <f ca="1">IF(OR(WEEKDAY($F142)=1,WEEKDAY($F142)=7),"Weekend",IFERROR(INDEX(INDIRECT("HolTbl"&amp;HolidaySheet&amp;"[Holiday]"),MATCH($F142,INDIRECT("HolTbl"&amp;HolidaySheet&amp;"[Date]"),0)),$G$10))</f>
        <v>Good Business Date</v>
      </c>
    </row>
    <row r="143" spans="6:8" x14ac:dyDescent="0.25">
      <c r="F143" s="55">
        <f t="shared" si="2"/>
        <v>45059</v>
      </c>
      <c r="G143" s="14" cm="1">
        <f t="array" aca="1" ref="G143" ca="1">GetBusinessDate($F143,BusinessDayConv,IF(ISBLANK(HolidaySheet),HolidaySheet,INDIRECT("HolTbl"&amp;HolidaySheet&amp;"[Date]")))</f>
        <v>45061</v>
      </c>
      <c r="H143" s="56" t="str">
        <f ca="1">IF(OR(WEEKDAY($F143)=1,WEEKDAY($F143)=7),"Weekend",IFERROR(INDEX(INDIRECT("HolTbl"&amp;HolidaySheet&amp;"[Holiday]"),MATCH($F143,INDIRECT("HolTbl"&amp;HolidaySheet&amp;"[Date]"),0)),$G$10))</f>
        <v>Weekend</v>
      </c>
    </row>
    <row r="144" spans="6:8" x14ac:dyDescent="0.25">
      <c r="F144" s="55">
        <f t="shared" si="2"/>
        <v>45060</v>
      </c>
      <c r="G144" s="14" cm="1">
        <f t="array" aca="1" ref="G144" ca="1">GetBusinessDate($F144,BusinessDayConv,IF(ISBLANK(HolidaySheet),HolidaySheet,INDIRECT("HolTbl"&amp;HolidaySheet&amp;"[Date]")))</f>
        <v>45061</v>
      </c>
      <c r="H144" s="56" t="str">
        <f ca="1">IF(OR(WEEKDAY($F144)=1,WEEKDAY($F144)=7),"Weekend",IFERROR(INDEX(INDIRECT("HolTbl"&amp;HolidaySheet&amp;"[Holiday]"),MATCH($F144,INDIRECT("HolTbl"&amp;HolidaySheet&amp;"[Date]"),0)),$G$10))</f>
        <v>Weekend</v>
      </c>
    </row>
    <row r="145" spans="6:8" x14ac:dyDescent="0.25">
      <c r="F145" s="55">
        <f t="shared" si="2"/>
        <v>45061</v>
      </c>
      <c r="G145" s="14" cm="1">
        <f t="array" aca="1" ref="G145" ca="1">GetBusinessDate($F145,BusinessDayConv,IF(ISBLANK(HolidaySheet),HolidaySheet,INDIRECT("HolTbl"&amp;HolidaySheet&amp;"[Date]")))</f>
        <v>45061</v>
      </c>
      <c r="H145" s="56" t="str">
        <f ca="1">IF(OR(WEEKDAY($F145)=1,WEEKDAY($F145)=7),"Weekend",IFERROR(INDEX(INDIRECT("HolTbl"&amp;HolidaySheet&amp;"[Holiday]"),MATCH($F145,INDIRECT("HolTbl"&amp;HolidaySheet&amp;"[Date]"),0)),$G$10))</f>
        <v>Good Business Date</v>
      </c>
    </row>
    <row r="146" spans="6:8" x14ac:dyDescent="0.25">
      <c r="F146" s="55">
        <f t="shared" si="2"/>
        <v>45062</v>
      </c>
      <c r="G146" s="14" cm="1">
        <f t="array" aca="1" ref="G146" ca="1">GetBusinessDate($F146,BusinessDayConv,IF(ISBLANK(HolidaySheet),HolidaySheet,INDIRECT("HolTbl"&amp;HolidaySheet&amp;"[Date]")))</f>
        <v>45062</v>
      </c>
      <c r="H146" s="56" t="str">
        <f ca="1">IF(OR(WEEKDAY($F146)=1,WEEKDAY($F146)=7),"Weekend",IFERROR(INDEX(INDIRECT("HolTbl"&amp;HolidaySheet&amp;"[Holiday]"),MATCH($F146,INDIRECT("HolTbl"&amp;HolidaySheet&amp;"[Date]"),0)),$G$10))</f>
        <v>Good Business Date</v>
      </c>
    </row>
    <row r="147" spans="6:8" x14ac:dyDescent="0.25">
      <c r="F147" s="55">
        <f t="shared" si="2"/>
        <v>45063</v>
      </c>
      <c r="G147" s="14" cm="1">
        <f t="array" aca="1" ref="G147" ca="1">GetBusinessDate($F147,BusinessDayConv,IF(ISBLANK(HolidaySheet),HolidaySheet,INDIRECT("HolTbl"&amp;HolidaySheet&amp;"[Date]")))</f>
        <v>45063</v>
      </c>
      <c r="H147" s="56" t="str">
        <f ca="1">IF(OR(WEEKDAY($F147)=1,WEEKDAY($F147)=7),"Weekend",IFERROR(INDEX(INDIRECT("HolTbl"&amp;HolidaySheet&amp;"[Holiday]"),MATCH($F147,INDIRECT("HolTbl"&amp;HolidaySheet&amp;"[Date]"),0)),$G$10))</f>
        <v>Good Business Date</v>
      </c>
    </row>
    <row r="148" spans="6:8" x14ac:dyDescent="0.25">
      <c r="F148" s="55">
        <f t="shared" si="2"/>
        <v>45064</v>
      </c>
      <c r="G148" s="14" cm="1">
        <f t="array" aca="1" ref="G148" ca="1">GetBusinessDate($F148,BusinessDayConv,IF(ISBLANK(HolidaySheet),HolidaySheet,INDIRECT("HolTbl"&amp;HolidaySheet&amp;"[Date]")))</f>
        <v>45064</v>
      </c>
      <c r="H148" s="56" t="str">
        <f ca="1">IF(OR(WEEKDAY($F148)=1,WEEKDAY($F148)=7),"Weekend",IFERROR(INDEX(INDIRECT("HolTbl"&amp;HolidaySheet&amp;"[Holiday]"),MATCH($F148,INDIRECT("HolTbl"&amp;HolidaySheet&amp;"[Date]"),0)),$G$10))</f>
        <v>Good Business Date</v>
      </c>
    </row>
    <row r="149" spans="6:8" x14ac:dyDescent="0.25">
      <c r="F149" s="55">
        <f t="shared" si="2"/>
        <v>45065</v>
      </c>
      <c r="G149" s="14" cm="1">
        <f t="array" aca="1" ref="G149" ca="1">GetBusinessDate($F149,BusinessDayConv,IF(ISBLANK(HolidaySheet),HolidaySheet,INDIRECT("HolTbl"&amp;HolidaySheet&amp;"[Date]")))</f>
        <v>45065</v>
      </c>
      <c r="H149" s="56" t="str">
        <f ca="1">IF(OR(WEEKDAY($F149)=1,WEEKDAY($F149)=7),"Weekend",IFERROR(INDEX(INDIRECT("HolTbl"&amp;HolidaySheet&amp;"[Holiday]"),MATCH($F149,INDIRECT("HolTbl"&amp;HolidaySheet&amp;"[Date]"),0)),$G$10))</f>
        <v>Good Business Date</v>
      </c>
    </row>
    <row r="150" spans="6:8" x14ac:dyDescent="0.25">
      <c r="F150" s="55">
        <f t="shared" si="2"/>
        <v>45066</v>
      </c>
      <c r="G150" s="14" cm="1">
        <f t="array" aca="1" ref="G150" ca="1">GetBusinessDate($F150,BusinessDayConv,IF(ISBLANK(HolidaySheet),HolidaySheet,INDIRECT("HolTbl"&amp;HolidaySheet&amp;"[Date]")))</f>
        <v>45068</v>
      </c>
      <c r="H150" s="56" t="str">
        <f ca="1">IF(OR(WEEKDAY($F150)=1,WEEKDAY($F150)=7),"Weekend",IFERROR(INDEX(INDIRECT("HolTbl"&amp;HolidaySheet&amp;"[Holiday]"),MATCH($F150,INDIRECT("HolTbl"&amp;HolidaySheet&amp;"[Date]"),0)),$G$10))</f>
        <v>Weekend</v>
      </c>
    </row>
    <row r="151" spans="6:8" x14ac:dyDescent="0.25">
      <c r="F151" s="55">
        <f t="shared" si="2"/>
        <v>45067</v>
      </c>
      <c r="G151" s="14" cm="1">
        <f t="array" aca="1" ref="G151" ca="1">GetBusinessDate($F151,BusinessDayConv,IF(ISBLANK(HolidaySheet),HolidaySheet,INDIRECT("HolTbl"&amp;HolidaySheet&amp;"[Date]")))</f>
        <v>45068</v>
      </c>
      <c r="H151" s="56" t="str">
        <f ca="1">IF(OR(WEEKDAY($F151)=1,WEEKDAY($F151)=7),"Weekend",IFERROR(INDEX(INDIRECT("HolTbl"&amp;HolidaySheet&amp;"[Holiday]"),MATCH($F151,INDIRECT("HolTbl"&amp;HolidaySheet&amp;"[Date]"),0)),$G$10))</f>
        <v>Weekend</v>
      </c>
    </row>
    <row r="152" spans="6:8" x14ac:dyDescent="0.25">
      <c r="F152" s="55">
        <f t="shared" si="2"/>
        <v>45068</v>
      </c>
      <c r="G152" s="14" cm="1">
        <f t="array" aca="1" ref="G152" ca="1">GetBusinessDate($F152,BusinessDayConv,IF(ISBLANK(HolidaySheet),HolidaySheet,INDIRECT("HolTbl"&amp;HolidaySheet&amp;"[Date]")))</f>
        <v>45068</v>
      </c>
      <c r="H152" s="56" t="str">
        <f ca="1">IF(OR(WEEKDAY($F152)=1,WEEKDAY($F152)=7),"Weekend",IFERROR(INDEX(INDIRECT("HolTbl"&amp;HolidaySheet&amp;"[Holiday]"),MATCH($F152,INDIRECT("HolTbl"&amp;HolidaySheet&amp;"[Date]"),0)),$G$10))</f>
        <v>Good Business Date</v>
      </c>
    </row>
    <row r="153" spans="6:8" x14ac:dyDescent="0.25">
      <c r="F153" s="55">
        <f t="shared" si="2"/>
        <v>45069</v>
      </c>
      <c r="G153" s="14" cm="1">
        <f t="array" aca="1" ref="G153" ca="1">GetBusinessDate($F153,BusinessDayConv,IF(ISBLANK(HolidaySheet),HolidaySheet,INDIRECT("HolTbl"&amp;HolidaySheet&amp;"[Date]")))</f>
        <v>45069</v>
      </c>
      <c r="H153" s="56" t="str">
        <f ca="1">IF(OR(WEEKDAY($F153)=1,WEEKDAY($F153)=7),"Weekend",IFERROR(INDEX(INDIRECT("HolTbl"&amp;HolidaySheet&amp;"[Holiday]"),MATCH($F153,INDIRECT("HolTbl"&amp;HolidaySheet&amp;"[Date]"),0)),$G$10))</f>
        <v>Good Business Date</v>
      </c>
    </row>
    <row r="154" spans="6:8" x14ac:dyDescent="0.25">
      <c r="F154" s="55">
        <f t="shared" si="2"/>
        <v>45070</v>
      </c>
      <c r="G154" s="14" cm="1">
        <f t="array" aca="1" ref="G154" ca="1">GetBusinessDate($F154,BusinessDayConv,IF(ISBLANK(HolidaySheet),HolidaySheet,INDIRECT("HolTbl"&amp;HolidaySheet&amp;"[Date]")))</f>
        <v>45070</v>
      </c>
      <c r="H154" s="56" t="str">
        <f ca="1">IF(OR(WEEKDAY($F154)=1,WEEKDAY($F154)=7),"Weekend",IFERROR(INDEX(INDIRECT("HolTbl"&amp;HolidaySheet&amp;"[Holiday]"),MATCH($F154,INDIRECT("HolTbl"&amp;HolidaySheet&amp;"[Date]"),0)),$G$10))</f>
        <v>Good Business Date</v>
      </c>
    </row>
    <row r="155" spans="6:8" x14ac:dyDescent="0.25">
      <c r="F155" s="55">
        <f t="shared" si="2"/>
        <v>45071</v>
      </c>
      <c r="G155" s="14" cm="1">
        <f t="array" aca="1" ref="G155" ca="1">GetBusinessDate($F155,BusinessDayConv,IF(ISBLANK(HolidaySheet),HolidaySheet,INDIRECT("HolTbl"&amp;HolidaySheet&amp;"[Date]")))</f>
        <v>45071</v>
      </c>
      <c r="H155" s="56" t="str">
        <f ca="1">IF(OR(WEEKDAY($F155)=1,WEEKDAY($F155)=7),"Weekend",IFERROR(INDEX(INDIRECT("HolTbl"&amp;HolidaySheet&amp;"[Holiday]"),MATCH($F155,INDIRECT("HolTbl"&amp;HolidaySheet&amp;"[Date]"),0)),$G$10))</f>
        <v>Good Business Date</v>
      </c>
    </row>
    <row r="156" spans="6:8" x14ac:dyDescent="0.25">
      <c r="F156" s="55">
        <f t="shared" si="2"/>
        <v>45072</v>
      </c>
      <c r="G156" s="14" cm="1">
        <f t="array" aca="1" ref="G156" ca="1">GetBusinessDate($F156,BusinessDayConv,IF(ISBLANK(HolidaySheet),HolidaySheet,INDIRECT("HolTbl"&amp;HolidaySheet&amp;"[Date]")))</f>
        <v>45072</v>
      </c>
      <c r="H156" s="56" t="str">
        <f ca="1">IF(OR(WEEKDAY($F156)=1,WEEKDAY($F156)=7),"Weekend",IFERROR(INDEX(INDIRECT("HolTbl"&amp;HolidaySheet&amp;"[Holiday]"),MATCH($F156,INDIRECT("HolTbl"&amp;HolidaySheet&amp;"[Date]"),0)),$G$10))</f>
        <v>Good Business Date</v>
      </c>
    </row>
    <row r="157" spans="6:8" x14ac:dyDescent="0.25">
      <c r="F157" s="55">
        <f t="shared" si="2"/>
        <v>45073</v>
      </c>
      <c r="G157" s="14" cm="1">
        <f t="array" aca="1" ref="G157" ca="1">GetBusinessDate($F157,BusinessDayConv,IF(ISBLANK(HolidaySheet),HolidaySheet,INDIRECT("HolTbl"&amp;HolidaySheet&amp;"[Date]")))</f>
        <v>45076</v>
      </c>
      <c r="H157" s="56" t="str">
        <f ca="1">IF(OR(WEEKDAY($F157)=1,WEEKDAY($F157)=7),"Weekend",IFERROR(INDEX(INDIRECT("HolTbl"&amp;HolidaySheet&amp;"[Holiday]"),MATCH($F157,INDIRECT("HolTbl"&amp;HolidaySheet&amp;"[Date]"),0)),$G$10))</f>
        <v>Weekend</v>
      </c>
    </row>
    <row r="158" spans="6:8" x14ac:dyDescent="0.25">
      <c r="F158" s="55">
        <f t="shared" si="2"/>
        <v>45074</v>
      </c>
      <c r="G158" s="14" cm="1">
        <f t="array" aca="1" ref="G158" ca="1">GetBusinessDate($F158,BusinessDayConv,IF(ISBLANK(HolidaySheet),HolidaySheet,INDIRECT("HolTbl"&amp;HolidaySheet&amp;"[Date]")))</f>
        <v>45076</v>
      </c>
      <c r="H158" s="56" t="str">
        <f ca="1">IF(OR(WEEKDAY($F158)=1,WEEKDAY($F158)=7),"Weekend",IFERROR(INDEX(INDIRECT("HolTbl"&amp;HolidaySheet&amp;"[Holiday]"),MATCH($F158,INDIRECT("HolTbl"&amp;HolidaySheet&amp;"[Date]"),0)),$G$10))</f>
        <v>Weekend</v>
      </c>
    </row>
    <row r="159" spans="6:8" x14ac:dyDescent="0.25">
      <c r="F159" s="55">
        <f t="shared" si="2"/>
        <v>45075</v>
      </c>
      <c r="G159" s="14" cm="1">
        <f t="array" aca="1" ref="G159" ca="1">GetBusinessDate($F159,BusinessDayConv,IF(ISBLANK(HolidaySheet),HolidaySheet,INDIRECT("HolTbl"&amp;HolidaySheet&amp;"[Date]")))</f>
        <v>45076</v>
      </c>
      <c r="H159" s="56" t="str">
        <f ca="1">IF(OR(WEEKDAY($F159)=1,WEEKDAY($F159)=7),"Weekend",IFERROR(INDEX(INDIRECT("HolTbl"&amp;HolidaySheet&amp;"[Holiday]"),MATCH($F159,INDIRECT("HolTbl"&amp;HolidaySheet&amp;"[Date]"),0)),$G$10))</f>
        <v>Memorial Day</v>
      </c>
    </row>
    <row r="160" spans="6:8" x14ac:dyDescent="0.25">
      <c r="F160" s="55">
        <f t="shared" si="2"/>
        <v>45076</v>
      </c>
      <c r="G160" s="14" cm="1">
        <f t="array" aca="1" ref="G160" ca="1">GetBusinessDate($F160,BusinessDayConv,IF(ISBLANK(HolidaySheet),HolidaySheet,INDIRECT("HolTbl"&amp;HolidaySheet&amp;"[Date]")))</f>
        <v>45076</v>
      </c>
      <c r="H160" s="56" t="str">
        <f ca="1">IF(OR(WEEKDAY($F160)=1,WEEKDAY($F160)=7),"Weekend",IFERROR(INDEX(INDIRECT("HolTbl"&amp;HolidaySheet&amp;"[Holiday]"),MATCH($F160,INDIRECT("HolTbl"&amp;HolidaySheet&amp;"[Date]"),0)),$G$10))</f>
        <v>Good Business Date</v>
      </c>
    </row>
    <row r="161" spans="6:8" x14ac:dyDescent="0.25">
      <c r="F161" s="55">
        <f t="shared" si="2"/>
        <v>45077</v>
      </c>
      <c r="G161" s="14" cm="1">
        <f t="array" aca="1" ref="G161" ca="1">GetBusinessDate($F161,BusinessDayConv,IF(ISBLANK(HolidaySheet),HolidaySheet,INDIRECT("HolTbl"&amp;HolidaySheet&amp;"[Date]")))</f>
        <v>45077</v>
      </c>
      <c r="H161" s="56" t="str">
        <f ca="1">IF(OR(WEEKDAY($F161)=1,WEEKDAY($F161)=7),"Weekend",IFERROR(INDEX(INDIRECT("HolTbl"&amp;HolidaySheet&amp;"[Holiday]"),MATCH($F161,INDIRECT("HolTbl"&amp;HolidaySheet&amp;"[Date]"),0)),$G$10))</f>
        <v>Good Business Date</v>
      </c>
    </row>
    <row r="162" spans="6:8" x14ac:dyDescent="0.25">
      <c r="F162" s="55">
        <f t="shared" si="2"/>
        <v>45078</v>
      </c>
      <c r="G162" s="14" cm="1">
        <f t="array" aca="1" ref="G162" ca="1">GetBusinessDate($F162,BusinessDayConv,IF(ISBLANK(HolidaySheet),HolidaySheet,INDIRECT("HolTbl"&amp;HolidaySheet&amp;"[Date]")))</f>
        <v>45078</v>
      </c>
      <c r="H162" s="56" t="str">
        <f ca="1">IF(OR(WEEKDAY($F162)=1,WEEKDAY($F162)=7),"Weekend",IFERROR(INDEX(INDIRECT("HolTbl"&amp;HolidaySheet&amp;"[Holiday]"),MATCH($F162,INDIRECT("HolTbl"&amp;HolidaySheet&amp;"[Date]"),0)),$G$10))</f>
        <v>Good Business Date</v>
      </c>
    </row>
    <row r="163" spans="6:8" x14ac:dyDescent="0.25">
      <c r="F163" s="55">
        <f t="shared" si="2"/>
        <v>45079</v>
      </c>
      <c r="G163" s="14" cm="1">
        <f t="array" aca="1" ref="G163" ca="1">GetBusinessDate($F163,BusinessDayConv,IF(ISBLANK(HolidaySheet),HolidaySheet,INDIRECT("HolTbl"&amp;HolidaySheet&amp;"[Date]")))</f>
        <v>45079</v>
      </c>
      <c r="H163" s="56" t="str">
        <f ca="1">IF(OR(WEEKDAY($F163)=1,WEEKDAY($F163)=7),"Weekend",IFERROR(INDEX(INDIRECT("HolTbl"&amp;HolidaySheet&amp;"[Holiday]"),MATCH($F163,INDIRECT("HolTbl"&amp;HolidaySheet&amp;"[Date]"),0)),$G$10))</f>
        <v>Good Business Date</v>
      </c>
    </row>
    <row r="164" spans="6:8" x14ac:dyDescent="0.25">
      <c r="F164" s="55">
        <f t="shared" si="2"/>
        <v>45080</v>
      </c>
      <c r="G164" s="14" cm="1">
        <f t="array" aca="1" ref="G164" ca="1">GetBusinessDate($F164,BusinessDayConv,IF(ISBLANK(HolidaySheet),HolidaySheet,INDIRECT("HolTbl"&amp;HolidaySheet&amp;"[Date]")))</f>
        <v>45082</v>
      </c>
      <c r="H164" s="56" t="str">
        <f ca="1">IF(OR(WEEKDAY($F164)=1,WEEKDAY($F164)=7),"Weekend",IFERROR(INDEX(INDIRECT("HolTbl"&amp;HolidaySheet&amp;"[Holiday]"),MATCH($F164,INDIRECT("HolTbl"&amp;HolidaySheet&amp;"[Date]"),0)),$G$10))</f>
        <v>Weekend</v>
      </c>
    </row>
    <row r="165" spans="6:8" x14ac:dyDescent="0.25">
      <c r="F165" s="55">
        <f t="shared" si="2"/>
        <v>45081</v>
      </c>
      <c r="G165" s="14" cm="1">
        <f t="array" aca="1" ref="G165" ca="1">GetBusinessDate($F165,BusinessDayConv,IF(ISBLANK(HolidaySheet),HolidaySheet,INDIRECT("HolTbl"&amp;HolidaySheet&amp;"[Date]")))</f>
        <v>45082</v>
      </c>
      <c r="H165" s="56" t="str">
        <f ca="1">IF(OR(WEEKDAY($F165)=1,WEEKDAY($F165)=7),"Weekend",IFERROR(INDEX(INDIRECT("HolTbl"&amp;HolidaySheet&amp;"[Holiday]"),MATCH($F165,INDIRECT("HolTbl"&amp;HolidaySheet&amp;"[Date]"),0)),$G$10))</f>
        <v>Weekend</v>
      </c>
    </row>
    <row r="166" spans="6:8" x14ac:dyDescent="0.25">
      <c r="F166" s="55">
        <f t="shared" si="2"/>
        <v>45082</v>
      </c>
      <c r="G166" s="14" cm="1">
        <f t="array" aca="1" ref="G166" ca="1">GetBusinessDate($F166,BusinessDayConv,IF(ISBLANK(HolidaySheet),HolidaySheet,INDIRECT("HolTbl"&amp;HolidaySheet&amp;"[Date]")))</f>
        <v>45082</v>
      </c>
      <c r="H166" s="56" t="str">
        <f ca="1">IF(OR(WEEKDAY($F166)=1,WEEKDAY($F166)=7),"Weekend",IFERROR(INDEX(INDIRECT("HolTbl"&amp;HolidaySheet&amp;"[Holiday]"),MATCH($F166,INDIRECT("HolTbl"&amp;HolidaySheet&amp;"[Date]"),0)),$G$10))</f>
        <v>Good Business Date</v>
      </c>
    </row>
    <row r="167" spans="6:8" x14ac:dyDescent="0.25">
      <c r="F167" s="55">
        <f t="shared" si="2"/>
        <v>45083</v>
      </c>
      <c r="G167" s="14" cm="1">
        <f t="array" aca="1" ref="G167" ca="1">GetBusinessDate($F167,BusinessDayConv,IF(ISBLANK(HolidaySheet),HolidaySheet,INDIRECT("HolTbl"&amp;HolidaySheet&amp;"[Date]")))</f>
        <v>45083</v>
      </c>
      <c r="H167" s="56" t="str">
        <f ca="1">IF(OR(WEEKDAY($F167)=1,WEEKDAY($F167)=7),"Weekend",IFERROR(INDEX(INDIRECT("HolTbl"&amp;HolidaySheet&amp;"[Holiday]"),MATCH($F167,INDIRECT("HolTbl"&amp;HolidaySheet&amp;"[Date]"),0)),$G$10))</f>
        <v>Good Business Date</v>
      </c>
    </row>
    <row r="168" spans="6:8" x14ac:dyDescent="0.25">
      <c r="F168" s="55">
        <f t="shared" si="2"/>
        <v>45084</v>
      </c>
      <c r="G168" s="14" cm="1">
        <f t="array" aca="1" ref="G168" ca="1">GetBusinessDate($F168,BusinessDayConv,IF(ISBLANK(HolidaySheet),HolidaySheet,INDIRECT("HolTbl"&amp;HolidaySheet&amp;"[Date]")))</f>
        <v>45084</v>
      </c>
      <c r="H168" s="56" t="str">
        <f ca="1">IF(OR(WEEKDAY($F168)=1,WEEKDAY($F168)=7),"Weekend",IFERROR(INDEX(INDIRECT("HolTbl"&amp;HolidaySheet&amp;"[Holiday]"),MATCH($F168,INDIRECT("HolTbl"&amp;HolidaySheet&amp;"[Date]"),0)),$G$10))</f>
        <v>Good Business Date</v>
      </c>
    </row>
    <row r="169" spans="6:8" x14ac:dyDescent="0.25">
      <c r="F169" s="55">
        <f t="shared" si="2"/>
        <v>45085</v>
      </c>
      <c r="G169" s="14" cm="1">
        <f t="array" aca="1" ref="G169" ca="1">GetBusinessDate($F169,BusinessDayConv,IF(ISBLANK(HolidaySheet),HolidaySheet,INDIRECT("HolTbl"&amp;HolidaySheet&amp;"[Date]")))</f>
        <v>45085</v>
      </c>
      <c r="H169" s="56" t="str">
        <f ca="1">IF(OR(WEEKDAY($F169)=1,WEEKDAY($F169)=7),"Weekend",IFERROR(INDEX(INDIRECT("HolTbl"&amp;HolidaySheet&amp;"[Holiday]"),MATCH($F169,INDIRECT("HolTbl"&amp;HolidaySheet&amp;"[Date]"),0)),$G$10))</f>
        <v>Good Business Date</v>
      </c>
    </row>
    <row r="170" spans="6:8" x14ac:dyDescent="0.25">
      <c r="F170" s="55">
        <f t="shared" si="2"/>
        <v>45086</v>
      </c>
      <c r="G170" s="14" cm="1">
        <f t="array" aca="1" ref="G170" ca="1">GetBusinessDate($F170,BusinessDayConv,IF(ISBLANK(HolidaySheet),HolidaySheet,INDIRECT("HolTbl"&amp;HolidaySheet&amp;"[Date]")))</f>
        <v>45086</v>
      </c>
      <c r="H170" s="56" t="str">
        <f ca="1">IF(OR(WEEKDAY($F170)=1,WEEKDAY($F170)=7),"Weekend",IFERROR(INDEX(INDIRECT("HolTbl"&amp;HolidaySheet&amp;"[Holiday]"),MATCH($F170,INDIRECT("HolTbl"&amp;HolidaySheet&amp;"[Date]"),0)),$G$10))</f>
        <v>Good Business Date</v>
      </c>
    </row>
    <row r="171" spans="6:8" x14ac:dyDescent="0.25">
      <c r="F171" s="55">
        <f t="shared" si="2"/>
        <v>45087</v>
      </c>
      <c r="G171" s="14" cm="1">
        <f t="array" aca="1" ref="G171" ca="1">GetBusinessDate($F171,BusinessDayConv,IF(ISBLANK(HolidaySheet),HolidaySheet,INDIRECT("HolTbl"&amp;HolidaySheet&amp;"[Date]")))</f>
        <v>45089</v>
      </c>
      <c r="H171" s="56" t="str">
        <f ca="1">IF(OR(WEEKDAY($F171)=1,WEEKDAY($F171)=7),"Weekend",IFERROR(INDEX(INDIRECT("HolTbl"&amp;HolidaySheet&amp;"[Holiday]"),MATCH($F171,INDIRECT("HolTbl"&amp;HolidaySheet&amp;"[Date]"),0)),$G$10))</f>
        <v>Weekend</v>
      </c>
    </row>
    <row r="172" spans="6:8" x14ac:dyDescent="0.25">
      <c r="F172" s="55">
        <f t="shared" si="2"/>
        <v>45088</v>
      </c>
      <c r="G172" s="14" cm="1">
        <f t="array" aca="1" ref="G172" ca="1">GetBusinessDate($F172,BusinessDayConv,IF(ISBLANK(HolidaySheet),HolidaySheet,INDIRECT("HolTbl"&amp;HolidaySheet&amp;"[Date]")))</f>
        <v>45089</v>
      </c>
      <c r="H172" s="56" t="str">
        <f ca="1">IF(OR(WEEKDAY($F172)=1,WEEKDAY($F172)=7),"Weekend",IFERROR(INDEX(INDIRECT("HolTbl"&amp;HolidaySheet&amp;"[Holiday]"),MATCH($F172,INDIRECT("HolTbl"&amp;HolidaySheet&amp;"[Date]"),0)),$G$10))</f>
        <v>Weekend</v>
      </c>
    </row>
    <row r="173" spans="6:8" x14ac:dyDescent="0.25">
      <c r="F173" s="55">
        <f t="shared" si="2"/>
        <v>45089</v>
      </c>
      <c r="G173" s="14" cm="1">
        <f t="array" aca="1" ref="G173" ca="1">GetBusinessDate($F173,BusinessDayConv,IF(ISBLANK(HolidaySheet),HolidaySheet,INDIRECT("HolTbl"&amp;HolidaySheet&amp;"[Date]")))</f>
        <v>45089</v>
      </c>
      <c r="H173" s="56" t="str">
        <f ca="1">IF(OR(WEEKDAY($F173)=1,WEEKDAY($F173)=7),"Weekend",IFERROR(INDEX(INDIRECT("HolTbl"&amp;HolidaySheet&amp;"[Holiday]"),MATCH($F173,INDIRECT("HolTbl"&amp;HolidaySheet&amp;"[Date]"),0)),$G$10))</f>
        <v>Good Business Date</v>
      </c>
    </row>
    <row r="174" spans="6:8" x14ac:dyDescent="0.25">
      <c r="F174" s="55">
        <f t="shared" si="2"/>
        <v>45090</v>
      </c>
      <c r="G174" s="14" cm="1">
        <f t="array" aca="1" ref="G174" ca="1">GetBusinessDate($F174,BusinessDayConv,IF(ISBLANK(HolidaySheet),HolidaySheet,INDIRECT("HolTbl"&amp;HolidaySheet&amp;"[Date]")))</f>
        <v>45090</v>
      </c>
      <c r="H174" s="56" t="str">
        <f ca="1">IF(OR(WEEKDAY($F174)=1,WEEKDAY($F174)=7),"Weekend",IFERROR(INDEX(INDIRECT("HolTbl"&amp;HolidaySheet&amp;"[Holiday]"),MATCH($F174,INDIRECT("HolTbl"&amp;HolidaySheet&amp;"[Date]"),0)),$G$10))</f>
        <v>Good Business Date</v>
      </c>
    </row>
    <row r="175" spans="6:8" x14ac:dyDescent="0.25">
      <c r="F175" s="55">
        <f t="shared" si="2"/>
        <v>45091</v>
      </c>
      <c r="G175" s="14" cm="1">
        <f t="array" aca="1" ref="G175" ca="1">GetBusinessDate($F175,BusinessDayConv,IF(ISBLANK(HolidaySheet),HolidaySheet,INDIRECT("HolTbl"&amp;HolidaySheet&amp;"[Date]")))</f>
        <v>45091</v>
      </c>
      <c r="H175" s="56" t="str">
        <f ca="1">IF(OR(WEEKDAY($F175)=1,WEEKDAY($F175)=7),"Weekend",IFERROR(INDEX(INDIRECT("HolTbl"&amp;HolidaySheet&amp;"[Holiday]"),MATCH($F175,INDIRECT("HolTbl"&amp;HolidaySheet&amp;"[Date]"),0)),$G$10))</f>
        <v>Good Business Date</v>
      </c>
    </row>
    <row r="176" spans="6:8" x14ac:dyDescent="0.25">
      <c r="F176" s="55">
        <f t="shared" si="2"/>
        <v>45092</v>
      </c>
      <c r="G176" s="14" cm="1">
        <f t="array" aca="1" ref="G176" ca="1">GetBusinessDate($F176,BusinessDayConv,IF(ISBLANK(HolidaySheet),HolidaySheet,INDIRECT("HolTbl"&amp;HolidaySheet&amp;"[Date]")))</f>
        <v>45092</v>
      </c>
      <c r="H176" s="56" t="str">
        <f ca="1">IF(OR(WEEKDAY($F176)=1,WEEKDAY($F176)=7),"Weekend",IFERROR(INDEX(INDIRECT("HolTbl"&amp;HolidaySheet&amp;"[Holiday]"),MATCH($F176,INDIRECT("HolTbl"&amp;HolidaySheet&amp;"[Date]"),0)),$G$10))</f>
        <v>Good Business Date</v>
      </c>
    </row>
    <row r="177" spans="6:8" x14ac:dyDescent="0.25">
      <c r="F177" s="55">
        <f t="shared" si="2"/>
        <v>45093</v>
      </c>
      <c r="G177" s="14" cm="1">
        <f t="array" aca="1" ref="G177" ca="1">GetBusinessDate($F177,BusinessDayConv,IF(ISBLANK(HolidaySheet),HolidaySheet,INDIRECT("HolTbl"&amp;HolidaySheet&amp;"[Date]")))</f>
        <v>45093</v>
      </c>
      <c r="H177" s="56" t="str">
        <f ca="1">IF(OR(WEEKDAY($F177)=1,WEEKDAY($F177)=7),"Weekend",IFERROR(INDEX(INDIRECT("HolTbl"&amp;HolidaySheet&amp;"[Holiday]"),MATCH($F177,INDIRECT("HolTbl"&amp;HolidaySheet&amp;"[Date]"),0)),$G$10))</f>
        <v>Good Business Date</v>
      </c>
    </row>
    <row r="178" spans="6:8" x14ac:dyDescent="0.25">
      <c r="F178" s="55">
        <f t="shared" si="2"/>
        <v>45094</v>
      </c>
      <c r="G178" s="14" cm="1">
        <f t="array" aca="1" ref="G178" ca="1">GetBusinessDate($F178,BusinessDayConv,IF(ISBLANK(HolidaySheet),HolidaySheet,INDIRECT("HolTbl"&amp;HolidaySheet&amp;"[Date]")))</f>
        <v>45097</v>
      </c>
      <c r="H178" s="56" t="str">
        <f ca="1">IF(OR(WEEKDAY($F178)=1,WEEKDAY($F178)=7),"Weekend",IFERROR(INDEX(INDIRECT("HolTbl"&amp;HolidaySheet&amp;"[Holiday]"),MATCH($F178,INDIRECT("HolTbl"&amp;HolidaySheet&amp;"[Date]"),0)),$G$10))</f>
        <v>Weekend</v>
      </c>
    </row>
    <row r="179" spans="6:8" x14ac:dyDescent="0.25">
      <c r="F179" s="55">
        <f t="shared" si="2"/>
        <v>45095</v>
      </c>
      <c r="G179" s="14" cm="1">
        <f t="array" aca="1" ref="G179" ca="1">GetBusinessDate($F179,BusinessDayConv,IF(ISBLANK(HolidaySheet),HolidaySheet,INDIRECT("HolTbl"&amp;HolidaySheet&amp;"[Date]")))</f>
        <v>45097</v>
      </c>
      <c r="H179" s="56" t="str">
        <f ca="1">IF(OR(WEEKDAY($F179)=1,WEEKDAY($F179)=7),"Weekend",IFERROR(INDEX(INDIRECT("HolTbl"&amp;HolidaySheet&amp;"[Holiday]"),MATCH($F179,INDIRECT("HolTbl"&amp;HolidaySheet&amp;"[Date]"),0)),$G$10))</f>
        <v>Weekend</v>
      </c>
    </row>
    <row r="180" spans="6:8" x14ac:dyDescent="0.25">
      <c r="F180" s="55">
        <f t="shared" si="2"/>
        <v>45096</v>
      </c>
      <c r="G180" s="14" cm="1">
        <f t="array" aca="1" ref="G180" ca="1">GetBusinessDate($F180,BusinessDayConv,IF(ISBLANK(HolidaySheet),HolidaySheet,INDIRECT("HolTbl"&amp;HolidaySheet&amp;"[Date]")))</f>
        <v>45097</v>
      </c>
      <c r="H180" s="56" t="str">
        <f ca="1">IF(OR(WEEKDAY($F180)=1,WEEKDAY($F180)=7),"Weekend",IFERROR(INDEX(INDIRECT("HolTbl"&amp;HolidaySheet&amp;"[Holiday]"),MATCH($F180,INDIRECT("HolTbl"&amp;HolidaySheet&amp;"[Date]"),0)),$G$10))</f>
        <v>Juneteenth</v>
      </c>
    </row>
    <row r="181" spans="6:8" x14ac:dyDescent="0.25">
      <c r="F181" s="55">
        <f t="shared" si="2"/>
        <v>45097</v>
      </c>
      <c r="G181" s="14" cm="1">
        <f t="array" aca="1" ref="G181" ca="1">GetBusinessDate($F181,BusinessDayConv,IF(ISBLANK(HolidaySheet),HolidaySheet,INDIRECT("HolTbl"&amp;HolidaySheet&amp;"[Date]")))</f>
        <v>45097</v>
      </c>
      <c r="H181" s="56" t="str">
        <f ca="1">IF(OR(WEEKDAY($F181)=1,WEEKDAY($F181)=7),"Weekend",IFERROR(INDEX(INDIRECT("HolTbl"&amp;HolidaySheet&amp;"[Holiday]"),MATCH($F181,INDIRECT("HolTbl"&amp;HolidaySheet&amp;"[Date]"),0)),$G$10))</f>
        <v>Good Business Date</v>
      </c>
    </row>
    <row r="182" spans="6:8" x14ac:dyDescent="0.25">
      <c r="F182" s="55">
        <f t="shared" si="2"/>
        <v>45098</v>
      </c>
      <c r="G182" s="14" cm="1">
        <f t="array" aca="1" ref="G182" ca="1">GetBusinessDate($F182,BusinessDayConv,IF(ISBLANK(HolidaySheet),HolidaySheet,INDIRECT("HolTbl"&amp;HolidaySheet&amp;"[Date]")))</f>
        <v>45098</v>
      </c>
      <c r="H182" s="56" t="str">
        <f ca="1">IF(OR(WEEKDAY($F182)=1,WEEKDAY($F182)=7),"Weekend",IFERROR(INDEX(INDIRECT("HolTbl"&amp;HolidaySheet&amp;"[Holiday]"),MATCH($F182,INDIRECT("HolTbl"&amp;HolidaySheet&amp;"[Date]"),0)),$G$10))</f>
        <v>Good Business Date</v>
      </c>
    </row>
    <row r="183" spans="6:8" x14ac:dyDescent="0.25">
      <c r="F183" s="55">
        <f t="shared" si="2"/>
        <v>45099</v>
      </c>
      <c r="G183" s="14" cm="1">
        <f t="array" aca="1" ref="G183" ca="1">GetBusinessDate($F183,BusinessDayConv,IF(ISBLANK(HolidaySheet),HolidaySheet,INDIRECT("HolTbl"&amp;HolidaySheet&amp;"[Date]")))</f>
        <v>45099</v>
      </c>
      <c r="H183" s="56" t="str">
        <f ca="1">IF(OR(WEEKDAY($F183)=1,WEEKDAY($F183)=7),"Weekend",IFERROR(INDEX(INDIRECT("HolTbl"&amp;HolidaySheet&amp;"[Holiday]"),MATCH($F183,INDIRECT("HolTbl"&amp;HolidaySheet&amp;"[Date]"),0)),$G$10))</f>
        <v>Good Business Date</v>
      </c>
    </row>
    <row r="184" spans="6:8" x14ac:dyDescent="0.25">
      <c r="F184" s="55">
        <f t="shared" si="2"/>
        <v>45100</v>
      </c>
      <c r="G184" s="14" cm="1">
        <f t="array" aca="1" ref="G184" ca="1">GetBusinessDate($F184,BusinessDayConv,IF(ISBLANK(HolidaySheet),HolidaySheet,INDIRECT("HolTbl"&amp;HolidaySheet&amp;"[Date]")))</f>
        <v>45100</v>
      </c>
      <c r="H184" s="56" t="str">
        <f ca="1">IF(OR(WEEKDAY($F184)=1,WEEKDAY($F184)=7),"Weekend",IFERROR(INDEX(INDIRECT("HolTbl"&amp;HolidaySheet&amp;"[Holiday]"),MATCH($F184,INDIRECT("HolTbl"&amp;HolidaySheet&amp;"[Date]"),0)),$G$10))</f>
        <v>Good Business Date</v>
      </c>
    </row>
    <row r="185" spans="6:8" x14ac:dyDescent="0.25">
      <c r="F185" s="55">
        <f t="shared" si="2"/>
        <v>45101</v>
      </c>
      <c r="G185" s="14" cm="1">
        <f t="array" aca="1" ref="G185" ca="1">GetBusinessDate($F185,BusinessDayConv,IF(ISBLANK(HolidaySheet),HolidaySheet,INDIRECT("HolTbl"&amp;HolidaySheet&amp;"[Date]")))</f>
        <v>45103</v>
      </c>
      <c r="H185" s="56" t="str">
        <f ca="1">IF(OR(WEEKDAY($F185)=1,WEEKDAY($F185)=7),"Weekend",IFERROR(INDEX(INDIRECT("HolTbl"&amp;HolidaySheet&amp;"[Holiday]"),MATCH($F185,INDIRECT("HolTbl"&amp;HolidaySheet&amp;"[Date]"),0)),$G$10))</f>
        <v>Weekend</v>
      </c>
    </row>
    <row r="186" spans="6:8" x14ac:dyDescent="0.25">
      <c r="F186" s="55">
        <f t="shared" si="2"/>
        <v>45102</v>
      </c>
      <c r="G186" s="14" cm="1">
        <f t="array" aca="1" ref="G186" ca="1">GetBusinessDate($F186,BusinessDayConv,IF(ISBLANK(HolidaySheet),HolidaySheet,INDIRECT("HolTbl"&amp;HolidaySheet&amp;"[Date]")))</f>
        <v>45103</v>
      </c>
      <c r="H186" s="56" t="str">
        <f ca="1">IF(OR(WEEKDAY($F186)=1,WEEKDAY($F186)=7),"Weekend",IFERROR(INDEX(INDIRECT("HolTbl"&amp;HolidaySheet&amp;"[Holiday]"),MATCH($F186,INDIRECT("HolTbl"&amp;HolidaySheet&amp;"[Date]"),0)),$G$10))</f>
        <v>Weekend</v>
      </c>
    </row>
    <row r="187" spans="6:8" x14ac:dyDescent="0.25">
      <c r="F187" s="55">
        <f t="shared" si="2"/>
        <v>45103</v>
      </c>
      <c r="G187" s="14" cm="1">
        <f t="array" aca="1" ref="G187" ca="1">GetBusinessDate($F187,BusinessDayConv,IF(ISBLANK(HolidaySheet),HolidaySheet,INDIRECT("HolTbl"&amp;HolidaySheet&amp;"[Date]")))</f>
        <v>45103</v>
      </c>
      <c r="H187" s="56" t="str">
        <f ca="1">IF(OR(WEEKDAY($F187)=1,WEEKDAY($F187)=7),"Weekend",IFERROR(INDEX(INDIRECT("HolTbl"&amp;HolidaySheet&amp;"[Holiday]"),MATCH($F187,INDIRECT("HolTbl"&amp;HolidaySheet&amp;"[Date]"),0)),$G$10))</f>
        <v>Good Business Date</v>
      </c>
    </row>
    <row r="188" spans="6:8" x14ac:dyDescent="0.25">
      <c r="F188" s="55">
        <f t="shared" si="2"/>
        <v>45104</v>
      </c>
      <c r="G188" s="14" cm="1">
        <f t="array" aca="1" ref="G188" ca="1">GetBusinessDate($F188,BusinessDayConv,IF(ISBLANK(HolidaySheet),HolidaySheet,INDIRECT("HolTbl"&amp;HolidaySheet&amp;"[Date]")))</f>
        <v>45104</v>
      </c>
      <c r="H188" s="56" t="str">
        <f ca="1">IF(OR(WEEKDAY($F188)=1,WEEKDAY($F188)=7),"Weekend",IFERROR(INDEX(INDIRECT("HolTbl"&amp;HolidaySheet&amp;"[Holiday]"),MATCH($F188,INDIRECT("HolTbl"&amp;HolidaySheet&amp;"[Date]"),0)),$G$10))</f>
        <v>Good Business Date</v>
      </c>
    </row>
    <row r="189" spans="6:8" x14ac:dyDescent="0.25">
      <c r="F189" s="55">
        <f t="shared" si="2"/>
        <v>45105</v>
      </c>
      <c r="G189" s="14" cm="1">
        <f t="array" aca="1" ref="G189" ca="1">GetBusinessDate($F189,BusinessDayConv,IF(ISBLANK(HolidaySheet),HolidaySheet,INDIRECT("HolTbl"&amp;HolidaySheet&amp;"[Date]")))</f>
        <v>45105</v>
      </c>
      <c r="H189" s="56" t="str">
        <f ca="1">IF(OR(WEEKDAY($F189)=1,WEEKDAY($F189)=7),"Weekend",IFERROR(INDEX(INDIRECT("HolTbl"&amp;HolidaySheet&amp;"[Holiday]"),MATCH($F189,INDIRECT("HolTbl"&amp;HolidaySheet&amp;"[Date]"),0)),$G$10))</f>
        <v>Good Business Date</v>
      </c>
    </row>
    <row r="190" spans="6:8" x14ac:dyDescent="0.25">
      <c r="F190" s="55">
        <f t="shared" si="2"/>
        <v>45106</v>
      </c>
      <c r="G190" s="14" cm="1">
        <f t="array" aca="1" ref="G190" ca="1">GetBusinessDate($F190,BusinessDayConv,IF(ISBLANK(HolidaySheet),HolidaySheet,INDIRECT("HolTbl"&amp;HolidaySheet&amp;"[Date]")))</f>
        <v>45106</v>
      </c>
      <c r="H190" s="56" t="str">
        <f ca="1">IF(OR(WEEKDAY($F190)=1,WEEKDAY($F190)=7),"Weekend",IFERROR(INDEX(INDIRECT("HolTbl"&amp;HolidaySheet&amp;"[Holiday]"),MATCH($F190,INDIRECT("HolTbl"&amp;HolidaySheet&amp;"[Date]"),0)),$G$10))</f>
        <v>Good Business Date</v>
      </c>
    </row>
    <row r="191" spans="6:8" x14ac:dyDescent="0.25">
      <c r="F191" s="55">
        <f t="shared" si="2"/>
        <v>45107</v>
      </c>
      <c r="G191" s="14" cm="1">
        <f t="array" aca="1" ref="G191" ca="1">GetBusinessDate($F191,BusinessDayConv,IF(ISBLANK(HolidaySheet),HolidaySheet,INDIRECT("HolTbl"&amp;HolidaySheet&amp;"[Date]")))</f>
        <v>45107</v>
      </c>
      <c r="H191" s="56" t="str">
        <f ca="1">IF(OR(WEEKDAY($F191)=1,WEEKDAY($F191)=7),"Weekend",IFERROR(INDEX(INDIRECT("HolTbl"&amp;HolidaySheet&amp;"[Holiday]"),MATCH($F191,INDIRECT("HolTbl"&amp;HolidaySheet&amp;"[Date]"),0)),$G$10))</f>
        <v>Good Business Date</v>
      </c>
    </row>
    <row r="192" spans="6:8" x14ac:dyDescent="0.25">
      <c r="F192" s="55">
        <f t="shared" si="2"/>
        <v>45108</v>
      </c>
      <c r="G192" s="14" cm="1">
        <f t="array" aca="1" ref="G192" ca="1">GetBusinessDate($F192,BusinessDayConv,IF(ISBLANK(HolidaySheet),HolidaySheet,INDIRECT("HolTbl"&amp;HolidaySheet&amp;"[Date]")))</f>
        <v>45110</v>
      </c>
      <c r="H192" s="56" t="str">
        <f ca="1">IF(OR(WEEKDAY($F192)=1,WEEKDAY($F192)=7),"Weekend",IFERROR(INDEX(INDIRECT("HolTbl"&amp;HolidaySheet&amp;"[Holiday]"),MATCH($F192,INDIRECT("HolTbl"&amp;HolidaySheet&amp;"[Date]"),0)),$G$10))</f>
        <v>Weekend</v>
      </c>
    </row>
    <row r="193" spans="6:8" x14ac:dyDescent="0.25">
      <c r="F193" s="55">
        <f t="shared" si="2"/>
        <v>45109</v>
      </c>
      <c r="G193" s="14" cm="1">
        <f t="array" aca="1" ref="G193" ca="1">GetBusinessDate($F193,BusinessDayConv,IF(ISBLANK(HolidaySheet),HolidaySheet,INDIRECT("HolTbl"&amp;HolidaySheet&amp;"[Date]")))</f>
        <v>45110</v>
      </c>
      <c r="H193" s="56" t="str">
        <f ca="1">IF(OR(WEEKDAY($F193)=1,WEEKDAY($F193)=7),"Weekend",IFERROR(INDEX(INDIRECT("HolTbl"&amp;HolidaySheet&amp;"[Holiday]"),MATCH($F193,INDIRECT("HolTbl"&amp;HolidaySheet&amp;"[Date]"),0)),$G$10))</f>
        <v>Weekend</v>
      </c>
    </row>
    <row r="194" spans="6:8" x14ac:dyDescent="0.25">
      <c r="F194" s="55">
        <f t="shared" si="2"/>
        <v>45110</v>
      </c>
      <c r="G194" s="14" cm="1">
        <f t="array" aca="1" ref="G194" ca="1">GetBusinessDate($F194,BusinessDayConv,IF(ISBLANK(HolidaySheet),HolidaySheet,INDIRECT("HolTbl"&amp;HolidaySheet&amp;"[Date]")))</f>
        <v>45110</v>
      </c>
      <c r="H194" s="56" t="str">
        <f ca="1">IF(OR(WEEKDAY($F194)=1,WEEKDAY($F194)=7),"Weekend",IFERROR(INDEX(INDIRECT("HolTbl"&amp;HolidaySheet&amp;"[Holiday]"),MATCH($F194,INDIRECT("HolTbl"&amp;HolidaySheet&amp;"[Date]"),0)),$G$10))</f>
        <v>Good Business Date</v>
      </c>
    </row>
    <row r="195" spans="6:8" x14ac:dyDescent="0.25">
      <c r="F195" s="55">
        <f t="shared" si="2"/>
        <v>45111</v>
      </c>
      <c r="G195" s="14" cm="1">
        <f t="array" aca="1" ref="G195" ca="1">GetBusinessDate($F195,BusinessDayConv,IF(ISBLANK(HolidaySheet),HolidaySheet,INDIRECT("HolTbl"&amp;HolidaySheet&amp;"[Date]")))</f>
        <v>45112</v>
      </c>
      <c r="H195" s="56" t="str">
        <f ca="1">IF(OR(WEEKDAY($F195)=1,WEEKDAY($F195)=7),"Weekend",IFERROR(INDEX(INDIRECT("HolTbl"&amp;HolidaySheet&amp;"[Holiday]"),MATCH($F195,INDIRECT("HolTbl"&amp;HolidaySheet&amp;"[Date]"),0)),$G$10))</f>
        <v>U.S. Independence Day</v>
      </c>
    </row>
    <row r="196" spans="6:8" x14ac:dyDescent="0.25">
      <c r="F196" s="55">
        <f t="shared" si="2"/>
        <v>45112</v>
      </c>
      <c r="G196" s="14" cm="1">
        <f t="array" aca="1" ref="G196" ca="1">GetBusinessDate($F196,BusinessDayConv,IF(ISBLANK(HolidaySheet),HolidaySheet,INDIRECT("HolTbl"&amp;HolidaySheet&amp;"[Date]")))</f>
        <v>45112</v>
      </c>
      <c r="H196" s="56" t="str">
        <f ca="1">IF(OR(WEEKDAY($F196)=1,WEEKDAY($F196)=7),"Weekend",IFERROR(INDEX(INDIRECT("HolTbl"&amp;HolidaySheet&amp;"[Holiday]"),MATCH($F196,INDIRECT("HolTbl"&amp;HolidaySheet&amp;"[Date]"),0)),$G$10))</f>
        <v>Good Business Date</v>
      </c>
    </row>
    <row r="197" spans="6:8" x14ac:dyDescent="0.25">
      <c r="F197" s="55">
        <f t="shared" si="2"/>
        <v>45113</v>
      </c>
      <c r="G197" s="14" cm="1">
        <f t="array" aca="1" ref="G197" ca="1">GetBusinessDate($F197,BusinessDayConv,IF(ISBLANK(HolidaySheet),HolidaySheet,INDIRECT("HolTbl"&amp;HolidaySheet&amp;"[Date]")))</f>
        <v>45113</v>
      </c>
      <c r="H197" s="56" t="str">
        <f ca="1">IF(OR(WEEKDAY($F197)=1,WEEKDAY($F197)=7),"Weekend",IFERROR(INDEX(INDIRECT("HolTbl"&amp;HolidaySheet&amp;"[Holiday]"),MATCH($F197,INDIRECT("HolTbl"&amp;HolidaySheet&amp;"[Date]"),0)),$G$10))</f>
        <v>Good Business Date</v>
      </c>
    </row>
    <row r="198" spans="6:8" x14ac:dyDescent="0.25">
      <c r="F198" s="55">
        <f t="shared" si="2"/>
        <v>45114</v>
      </c>
      <c r="G198" s="14" cm="1">
        <f t="array" aca="1" ref="G198" ca="1">GetBusinessDate($F198,BusinessDayConv,IF(ISBLANK(HolidaySheet),HolidaySheet,INDIRECT("HolTbl"&amp;HolidaySheet&amp;"[Date]")))</f>
        <v>45114</v>
      </c>
      <c r="H198" s="56" t="str">
        <f ca="1">IF(OR(WEEKDAY($F198)=1,WEEKDAY($F198)=7),"Weekend",IFERROR(INDEX(INDIRECT("HolTbl"&amp;HolidaySheet&amp;"[Holiday]"),MATCH($F198,INDIRECT("HolTbl"&amp;HolidaySheet&amp;"[Date]"),0)),$G$10))</f>
        <v>Good Business Date</v>
      </c>
    </row>
    <row r="199" spans="6:8" x14ac:dyDescent="0.25">
      <c r="F199" s="55">
        <f t="shared" si="2"/>
        <v>45115</v>
      </c>
      <c r="G199" s="14" cm="1">
        <f t="array" aca="1" ref="G199" ca="1">GetBusinessDate($F199,BusinessDayConv,IF(ISBLANK(HolidaySheet),HolidaySheet,INDIRECT("HolTbl"&amp;HolidaySheet&amp;"[Date]")))</f>
        <v>45117</v>
      </c>
      <c r="H199" s="56" t="str">
        <f ca="1">IF(OR(WEEKDAY($F199)=1,WEEKDAY($F199)=7),"Weekend",IFERROR(INDEX(INDIRECT("HolTbl"&amp;HolidaySheet&amp;"[Holiday]"),MATCH($F199,INDIRECT("HolTbl"&amp;HolidaySheet&amp;"[Date]"),0)),$G$10))</f>
        <v>Weekend</v>
      </c>
    </row>
    <row r="200" spans="6:8" x14ac:dyDescent="0.25">
      <c r="F200" s="55">
        <f t="shared" si="2"/>
        <v>45116</v>
      </c>
      <c r="G200" s="14" cm="1">
        <f t="array" aca="1" ref="G200" ca="1">GetBusinessDate($F200,BusinessDayConv,IF(ISBLANK(HolidaySheet),HolidaySheet,INDIRECT("HolTbl"&amp;HolidaySheet&amp;"[Date]")))</f>
        <v>45117</v>
      </c>
      <c r="H200" s="56" t="str">
        <f ca="1">IF(OR(WEEKDAY($F200)=1,WEEKDAY($F200)=7),"Weekend",IFERROR(INDEX(INDIRECT("HolTbl"&amp;HolidaySheet&amp;"[Holiday]"),MATCH($F200,INDIRECT("HolTbl"&amp;HolidaySheet&amp;"[Date]"),0)),$G$10))</f>
        <v>Weekend</v>
      </c>
    </row>
    <row r="201" spans="6:8" x14ac:dyDescent="0.25">
      <c r="F201" s="55">
        <f t="shared" si="2"/>
        <v>45117</v>
      </c>
      <c r="G201" s="14" cm="1">
        <f t="array" aca="1" ref="G201" ca="1">GetBusinessDate($F201,BusinessDayConv,IF(ISBLANK(HolidaySheet),HolidaySheet,INDIRECT("HolTbl"&amp;HolidaySheet&amp;"[Date]")))</f>
        <v>45117</v>
      </c>
      <c r="H201" s="56" t="str">
        <f ca="1">IF(OR(WEEKDAY($F201)=1,WEEKDAY($F201)=7),"Weekend",IFERROR(INDEX(INDIRECT("HolTbl"&amp;HolidaySheet&amp;"[Holiday]"),MATCH($F201,INDIRECT("HolTbl"&amp;HolidaySheet&amp;"[Date]"),0)),$G$10))</f>
        <v>Good Business Date</v>
      </c>
    </row>
    <row r="202" spans="6:8" x14ac:dyDescent="0.25">
      <c r="F202" s="55">
        <f t="shared" si="2"/>
        <v>45118</v>
      </c>
      <c r="G202" s="14" cm="1">
        <f t="array" aca="1" ref="G202" ca="1">GetBusinessDate($F202,BusinessDayConv,IF(ISBLANK(HolidaySheet),HolidaySheet,INDIRECT("HolTbl"&amp;HolidaySheet&amp;"[Date]")))</f>
        <v>45118</v>
      </c>
      <c r="H202" s="56" t="str">
        <f ca="1">IF(OR(WEEKDAY($F202)=1,WEEKDAY($F202)=7),"Weekend",IFERROR(INDEX(INDIRECT("HolTbl"&amp;HolidaySheet&amp;"[Holiday]"),MATCH($F202,INDIRECT("HolTbl"&amp;HolidaySheet&amp;"[Date]"),0)),$G$10))</f>
        <v>Good Business Date</v>
      </c>
    </row>
    <row r="203" spans="6:8" x14ac:dyDescent="0.25">
      <c r="F203" s="55">
        <f t="shared" si="2"/>
        <v>45119</v>
      </c>
      <c r="G203" s="14" cm="1">
        <f t="array" aca="1" ref="G203" ca="1">GetBusinessDate($F203,BusinessDayConv,IF(ISBLANK(HolidaySheet),HolidaySheet,INDIRECT("HolTbl"&amp;HolidaySheet&amp;"[Date]")))</f>
        <v>45119</v>
      </c>
      <c r="H203" s="56" t="str">
        <f ca="1">IF(OR(WEEKDAY($F203)=1,WEEKDAY($F203)=7),"Weekend",IFERROR(INDEX(INDIRECT("HolTbl"&amp;HolidaySheet&amp;"[Holiday]"),MATCH($F203,INDIRECT("HolTbl"&amp;HolidaySheet&amp;"[Date]"),0)),$G$10))</f>
        <v>Good Business Date</v>
      </c>
    </row>
    <row r="204" spans="6:8" x14ac:dyDescent="0.25">
      <c r="F204" s="55">
        <f t="shared" si="2"/>
        <v>45120</v>
      </c>
      <c r="G204" s="14" cm="1">
        <f t="array" aca="1" ref="G204" ca="1">GetBusinessDate($F204,BusinessDayConv,IF(ISBLANK(HolidaySheet),HolidaySheet,INDIRECT("HolTbl"&amp;HolidaySheet&amp;"[Date]")))</f>
        <v>45120</v>
      </c>
      <c r="H204" s="56" t="str">
        <f ca="1">IF(OR(WEEKDAY($F204)=1,WEEKDAY($F204)=7),"Weekend",IFERROR(INDEX(INDIRECT("HolTbl"&amp;HolidaySheet&amp;"[Holiday]"),MATCH($F204,INDIRECT("HolTbl"&amp;HolidaySheet&amp;"[Date]"),0)),$G$10))</f>
        <v>Good Business Date</v>
      </c>
    </row>
    <row r="205" spans="6:8" x14ac:dyDescent="0.25">
      <c r="F205" s="55">
        <f t="shared" ref="F205:F268" si="3">F204+1</f>
        <v>45121</v>
      </c>
      <c r="G205" s="14" cm="1">
        <f t="array" aca="1" ref="G205" ca="1">GetBusinessDate($F205,BusinessDayConv,IF(ISBLANK(HolidaySheet),HolidaySheet,INDIRECT("HolTbl"&amp;HolidaySheet&amp;"[Date]")))</f>
        <v>45121</v>
      </c>
      <c r="H205" s="56" t="str">
        <f ca="1">IF(OR(WEEKDAY($F205)=1,WEEKDAY($F205)=7),"Weekend",IFERROR(INDEX(INDIRECT("HolTbl"&amp;HolidaySheet&amp;"[Holiday]"),MATCH($F205,INDIRECT("HolTbl"&amp;HolidaySheet&amp;"[Date]"),0)),$G$10))</f>
        <v>Good Business Date</v>
      </c>
    </row>
    <row r="206" spans="6:8" x14ac:dyDescent="0.25">
      <c r="F206" s="55">
        <f t="shared" si="3"/>
        <v>45122</v>
      </c>
      <c r="G206" s="14" cm="1">
        <f t="array" aca="1" ref="G206" ca="1">GetBusinessDate($F206,BusinessDayConv,IF(ISBLANK(HolidaySheet),HolidaySheet,INDIRECT("HolTbl"&amp;HolidaySheet&amp;"[Date]")))</f>
        <v>45124</v>
      </c>
      <c r="H206" s="56" t="str">
        <f ca="1">IF(OR(WEEKDAY($F206)=1,WEEKDAY($F206)=7),"Weekend",IFERROR(INDEX(INDIRECT("HolTbl"&amp;HolidaySheet&amp;"[Holiday]"),MATCH($F206,INDIRECT("HolTbl"&amp;HolidaySheet&amp;"[Date]"),0)),$G$10))</f>
        <v>Weekend</v>
      </c>
    </row>
    <row r="207" spans="6:8" x14ac:dyDescent="0.25">
      <c r="F207" s="55">
        <f t="shared" si="3"/>
        <v>45123</v>
      </c>
      <c r="G207" s="14" cm="1">
        <f t="array" aca="1" ref="G207" ca="1">GetBusinessDate($F207,BusinessDayConv,IF(ISBLANK(HolidaySheet),HolidaySheet,INDIRECT("HolTbl"&amp;HolidaySheet&amp;"[Date]")))</f>
        <v>45124</v>
      </c>
      <c r="H207" s="56" t="str">
        <f ca="1">IF(OR(WEEKDAY($F207)=1,WEEKDAY($F207)=7),"Weekend",IFERROR(INDEX(INDIRECT("HolTbl"&amp;HolidaySheet&amp;"[Holiday]"),MATCH($F207,INDIRECT("HolTbl"&amp;HolidaySheet&amp;"[Date]"),0)),$G$10))</f>
        <v>Weekend</v>
      </c>
    </row>
    <row r="208" spans="6:8" x14ac:dyDescent="0.25">
      <c r="F208" s="55">
        <f t="shared" si="3"/>
        <v>45124</v>
      </c>
      <c r="G208" s="14" cm="1">
        <f t="array" aca="1" ref="G208" ca="1">GetBusinessDate($F208,BusinessDayConv,IF(ISBLANK(HolidaySheet),HolidaySheet,INDIRECT("HolTbl"&amp;HolidaySheet&amp;"[Date]")))</f>
        <v>45124</v>
      </c>
      <c r="H208" s="56" t="str">
        <f ca="1">IF(OR(WEEKDAY($F208)=1,WEEKDAY($F208)=7),"Weekend",IFERROR(INDEX(INDIRECT("HolTbl"&amp;HolidaySheet&amp;"[Holiday]"),MATCH($F208,INDIRECT("HolTbl"&amp;HolidaySheet&amp;"[Date]"),0)),$G$10))</f>
        <v>Good Business Date</v>
      </c>
    </row>
    <row r="209" spans="6:8" x14ac:dyDescent="0.25">
      <c r="F209" s="55">
        <f t="shared" si="3"/>
        <v>45125</v>
      </c>
      <c r="G209" s="14" cm="1">
        <f t="array" aca="1" ref="G209" ca="1">GetBusinessDate($F209,BusinessDayConv,IF(ISBLANK(HolidaySheet),HolidaySheet,INDIRECT("HolTbl"&amp;HolidaySheet&amp;"[Date]")))</f>
        <v>45125</v>
      </c>
      <c r="H209" s="56" t="str">
        <f ca="1">IF(OR(WEEKDAY($F209)=1,WEEKDAY($F209)=7),"Weekend",IFERROR(INDEX(INDIRECT("HolTbl"&amp;HolidaySheet&amp;"[Holiday]"),MATCH($F209,INDIRECT("HolTbl"&amp;HolidaySheet&amp;"[Date]"),0)),$G$10))</f>
        <v>Good Business Date</v>
      </c>
    </row>
    <row r="210" spans="6:8" x14ac:dyDescent="0.25">
      <c r="F210" s="55">
        <f t="shared" si="3"/>
        <v>45126</v>
      </c>
      <c r="G210" s="14" cm="1">
        <f t="array" aca="1" ref="G210" ca="1">GetBusinessDate($F210,BusinessDayConv,IF(ISBLANK(HolidaySheet),HolidaySheet,INDIRECT("HolTbl"&amp;HolidaySheet&amp;"[Date]")))</f>
        <v>45126</v>
      </c>
      <c r="H210" s="56" t="str">
        <f ca="1">IF(OR(WEEKDAY($F210)=1,WEEKDAY($F210)=7),"Weekend",IFERROR(INDEX(INDIRECT("HolTbl"&amp;HolidaySheet&amp;"[Holiday]"),MATCH($F210,INDIRECT("HolTbl"&amp;HolidaySheet&amp;"[Date]"),0)),$G$10))</f>
        <v>Good Business Date</v>
      </c>
    </row>
    <row r="211" spans="6:8" x14ac:dyDescent="0.25">
      <c r="F211" s="55">
        <f t="shared" si="3"/>
        <v>45127</v>
      </c>
      <c r="G211" s="14" cm="1">
        <f t="array" aca="1" ref="G211" ca="1">GetBusinessDate($F211,BusinessDayConv,IF(ISBLANK(HolidaySheet),HolidaySheet,INDIRECT("HolTbl"&amp;HolidaySheet&amp;"[Date]")))</f>
        <v>45127</v>
      </c>
      <c r="H211" s="56" t="str">
        <f ca="1">IF(OR(WEEKDAY($F211)=1,WEEKDAY($F211)=7),"Weekend",IFERROR(INDEX(INDIRECT("HolTbl"&amp;HolidaySheet&amp;"[Holiday]"),MATCH($F211,INDIRECT("HolTbl"&amp;HolidaySheet&amp;"[Date]"),0)),$G$10))</f>
        <v>Good Business Date</v>
      </c>
    </row>
    <row r="212" spans="6:8" x14ac:dyDescent="0.25">
      <c r="F212" s="55">
        <f t="shared" si="3"/>
        <v>45128</v>
      </c>
      <c r="G212" s="14" cm="1">
        <f t="array" aca="1" ref="G212" ca="1">GetBusinessDate($F212,BusinessDayConv,IF(ISBLANK(HolidaySheet),HolidaySheet,INDIRECT("HolTbl"&amp;HolidaySheet&amp;"[Date]")))</f>
        <v>45128</v>
      </c>
      <c r="H212" s="56" t="str">
        <f ca="1">IF(OR(WEEKDAY($F212)=1,WEEKDAY($F212)=7),"Weekend",IFERROR(INDEX(INDIRECT("HolTbl"&amp;HolidaySheet&amp;"[Holiday]"),MATCH($F212,INDIRECT("HolTbl"&amp;HolidaySheet&amp;"[Date]"),0)),$G$10))</f>
        <v>Good Business Date</v>
      </c>
    </row>
    <row r="213" spans="6:8" x14ac:dyDescent="0.25">
      <c r="F213" s="55">
        <f t="shared" si="3"/>
        <v>45129</v>
      </c>
      <c r="G213" s="14" cm="1">
        <f t="array" aca="1" ref="G213" ca="1">GetBusinessDate($F213,BusinessDayConv,IF(ISBLANK(HolidaySheet),HolidaySheet,INDIRECT("HolTbl"&amp;HolidaySheet&amp;"[Date]")))</f>
        <v>45131</v>
      </c>
      <c r="H213" s="56" t="str">
        <f ca="1">IF(OR(WEEKDAY($F213)=1,WEEKDAY($F213)=7),"Weekend",IFERROR(INDEX(INDIRECT("HolTbl"&amp;HolidaySheet&amp;"[Holiday]"),MATCH($F213,INDIRECT("HolTbl"&amp;HolidaySheet&amp;"[Date]"),0)),$G$10))</f>
        <v>Weekend</v>
      </c>
    </row>
    <row r="214" spans="6:8" x14ac:dyDescent="0.25">
      <c r="F214" s="55">
        <f t="shared" si="3"/>
        <v>45130</v>
      </c>
      <c r="G214" s="14" cm="1">
        <f t="array" aca="1" ref="G214" ca="1">GetBusinessDate($F214,BusinessDayConv,IF(ISBLANK(HolidaySheet),HolidaySheet,INDIRECT("HolTbl"&amp;HolidaySheet&amp;"[Date]")))</f>
        <v>45131</v>
      </c>
      <c r="H214" s="56" t="str">
        <f ca="1">IF(OR(WEEKDAY($F214)=1,WEEKDAY($F214)=7),"Weekend",IFERROR(INDEX(INDIRECT("HolTbl"&amp;HolidaySheet&amp;"[Holiday]"),MATCH($F214,INDIRECT("HolTbl"&amp;HolidaySheet&amp;"[Date]"),0)),$G$10))</f>
        <v>Weekend</v>
      </c>
    </row>
    <row r="215" spans="6:8" x14ac:dyDescent="0.25">
      <c r="F215" s="55">
        <f t="shared" si="3"/>
        <v>45131</v>
      </c>
      <c r="G215" s="14" cm="1">
        <f t="array" aca="1" ref="G215" ca="1">GetBusinessDate($F215,BusinessDayConv,IF(ISBLANK(HolidaySheet),HolidaySheet,INDIRECT("HolTbl"&amp;HolidaySheet&amp;"[Date]")))</f>
        <v>45131</v>
      </c>
      <c r="H215" s="56" t="str">
        <f ca="1">IF(OR(WEEKDAY($F215)=1,WEEKDAY($F215)=7),"Weekend",IFERROR(INDEX(INDIRECT("HolTbl"&amp;HolidaySheet&amp;"[Holiday]"),MATCH($F215,INDIRECT("HolTbl"&amp;HolidaySheet&amp;"[Date]"),0)),$G$10))</f>
        <v>Good Business Date</v>
      </c>
    </row>
    <row r="216" spans="6:8" x14ac:dyDescent="0.25">
      <c r="F216" s="55">
        <f t="shared" si="3"/>
        <v>45132</v>
      </c>
      <c r="G216" s="14" cm="1">
        <f t="array" aca="1" ref="G216" ca="1">GetBusinessDate($F216,BusinessDayConv,IF(ISBLANK(HolidaySheet),HolidaySheet,INDIRECT("HolTbl"&amp;HolidaySheet&amp;"[Date]")))</f>
        <v>45132</v>
      </c>
      <c r="H216" s="56" t="str">
        <f ca="1">IF(OR(WEEKDAY($F216)=1,WEEKDAY($F216)=7),"Weekend",IFERROR(INDEX(INDIRECT("HolTbl"&amp;HolidaySheet&amp;"[Holiday]"),MATCH($F216,INDIRECT("HolTbl"&amp;HolidaySheet&amp;"[Date]"),0)),$G$10))</f>
        <v>Good Business Date</v>
      </c>
    </row>
    <row r="217" spans="6:8" x14ac:dyDescent="0.25">
      <c r="F217" s="55">
        <f t="shared" si="3"/>
        <v>45133</v>
      </c>
      <c r="G217" s="14" cm="1">
        <f t="array" aca="1" ref="G217" ca="1">GetBusinessDate($F217,BusinessDayConv,IF(ISBLANK(HolidaySheet),HolidaySheet,INDIRECT("HolTbl"&amp;HolidaySheet&amp;"[Date]")))</f>
        <v>45133</v>
      </c>
      <c r="H217" s="56" t="str">
        <f ca="1">IF(OR(WEEKDAY($F217)=1,WEEKDAY($F217)=7),"Weekend",IFERROR(INDEX(INDIRECT("HolTbl"&amp;HolidaySheet&amp;"[Holiday]"),MATCH($F217,INDIRECT("HolTbl"&amp;HolidaySheet&amp;"[Date]"),0)),$G$10))</f>
        <v>Good Business Date</v>
      </c>
    </row>
    <row r="218" spans="6:8" x14ac:dyDescent="0.25">
      <c r="F218" s="55">
        <f t="shared" si="3"/>
        <v>45134</v>
      </c>
      <c r="G218" s="14" cm="1">
        <f t="array" aca="1" ref="G218" ca="1">GetBusinessDate($F218,BusinessDayConv,IF(ISBLANK(HolidaySheet),HolidaySheet,INDIRECT("HolTbl"&amp;HolidaySheet&amp;"[Date]")))</f>
        <v>45134</v>
      </c>
      <c r="H218" s="56" t="str">
        <f ca="1">IF(OR(WEEKDAY($F218)=1,WEEKDAY($F218)=7),"Weekend",IFERROR(INDEX(INDIRECT("HolTbl"&amp;HolidaySheet&amp;"[Holiday]"),MATCH($F218,INDIRECT("HolTbl"&amp;HolidaySheet&amp;"[Date]"),0)),$G$10))</f>
        <v>Good Business Date</v>
      </c>
    </row>
    <row r="219" spans="6:8" x14ac:dyDescent="0.25">
      <c r="F219" s="55">
        <f t="shared" si="3"/>
        <v>45135</v>
      </c>
      <c r="G219" s="14" cm="1">
        <f t="array" aca="1" ref="G219" ca="1">GetBusinessDate($F219,BusinessDayConv,IF(ISBLANK(HolidaySheet),HolidaySheet,INDIRECT("HolTbl"&amp;HolidaySheet&amp;"[Date]")))</f>
        <v>45135</v>
      </c>
      <c r="H219" s="56" t="str">
        <f ca="1">IF(OR(WEEKDAY($F219)=1,WEEKDAY($F219)=7),"Weekend",IFERROR(INDEX(INDIRECT("HolTbl"&amp;HolidaySheet&amp;"[Holiday]"),MATCH($F219,INDIRECT("HolTbl"&amp;HolidaySheet&amp;"[Date]"),0)),$G$10))</f>
        <v>Good Business Date</v>
      </c>
    </row>
    <row r="220" spans="6:8" x14ac:dyDescent="0.25">
      <c r="F220" s="55">
        <f t="shared" si="3"/>
        <v>45136</v>
      </c>
      <c r="G220" s="14" cm="1">
        <f t="array" aca="1" ref="G220" ca="1">GetBusinessDate($F220,BusinessDayConv,IF(ISBLANK(HolidaySheet),HolidaySheet,INDIRECT("HolTbl"&amp;HolidaySheet&amp;"[Date]")))</f>
        <v>45138</v>
      </c>
      <c r="H220" s="56" t="str">
        <f ca="1">IF(OR(WEEKDAY($F220)=1,WEEKDAY($F220)=7),"Weekend",IFERROR(INDEX(INDIRECT("HolTbl"&amp;HolidaySheet&amp;"[Holiday]"),MATCH($F220,INDIRECT("HolTbl"&amp;HolidaySheet&amp;"[Date]"),0)),$G$10))</f>
        <v>Weekend</v>
      </c>
    </row>
    <row r="221" spans="6:8" x14ac:dyDescent="0.25">
      <c r="F221" s="55">
        <f t="shared" si="3"/>
        <v>45137</v>
      </c>
      <c r="G221" s="14" cm="1">
        <f t="array" aca="1" ref="G221" ca="1">GetBusinessDate($F221,BusinessDayConv,IF(ISBLANK(HolidaySheet),HolidaySheet,INDIRECT("HolTbl"&amp;HolidaySheet&amp;"[Date]")))</f>
        <v>45138</v>
      </c>
      <c r="H221" s="56" t="str">
        <f ca="1">IF(OR(WEEKDAY($F221)=1,WEEKDAY($F221)=7),"Weekend",IFERROR(INDEX(INDIRECT("HolTbl"&amp;HolidaySheet&amp;"[Holiday]"),MATCH($F221,INDIRECT("HolTbl"&amp;HolidaySheet&amp;"[Date]"),0)),$G$10))</f>
        <v>Weekend</v>
      </c>
    </row>
    <row r="222" spans="6:8" x14ac:dyDescent="0.25">
      <c r="F222" s="55">
        <f t="shared" si="3"/>
        <v>45138</v>
      </c>
      <c r="G222" s="14" cm="1">
        <f t="array" aca="1" ref="G222" ca="1">GetBusinessDate($F222,BusinessDayConv,IF(ISBLANK(HolidaySheet),HolidaySheet,INDIRECT("HolTbl"&amp;HolidaySheet&amp;"[Date]")))</f>
        <v>45138</v>
      </c>
      <c r="H222" s="56" t="str">
        <f ca="1">IF(OR(WEEKDAY($F222)=1,WEEKDAY($F222)=7),"Weekend",IFERROR(INDEX(INDIRECT("HolTbl"&amp;HolidaySheet&amp;"[Holiday]"),MATCH($F222,INDIRECT("HolTbl"&amp;HolidaySheet&amp;"[Date]"),0)),$G$10))</f>
        <v>Good Business Date</v>
      </c>
    </row>
    <row r="223" spans="6:8" x14ac:dyDescent="0.25">
      <c r="F223" s="55">
        <f t="shared" si="3"/>
        <v>45139</v>
      </c>
      <c r="G223" s="14" cm="1">
        <f t="array" aca="1" ref="G223" ca="1">GetBusinessDate($F223,BusinessDayConv,IF(ISBLANK(HolidaySheet),HolidaySheet,INDIRECT("HolTbl"&amp;HolidaySheet&amp;"[Date]")))</f>
        <v>45139</v>
      </c>
      <c r="H223" s="56" t="str">
        <f ca="1">IF(OR(WEEKDAY($F223)=1,WEEKDAY($F223)=7),"Weekend",IFERROR(INDEX(INDIRECT("HolTbl"&amp;HolidaySheet&amp;"[Holiday]"),MATCH($F223,INDIRECT("HolTbl"&amp;HolidaySheet&amp;"[Date]"),0)),$G$10))</f>
        <v>Good Business Date</v>
      </c>
    </row>
    <row r="224" spans="6:8" x14ac:dyDescent="0.25">
      <c r="F224" s="55">
        <f t="shared" si="3"/>
        <v>45140</v>
      </c>
      <c r="G224" s="14" cm="1">
        <f t="array" aca="1" ref="G224" ca="1">GetBusinessDate($F224,BusinessDayConv,IF(ISBLANK(HolidaySheet),HolidaySheet,INDIRECT("HolTbl"&amp;HolidaySheet&amp;"[Date]")))</f>
        <v>45140</v>
      </c>
      <c r="H224" s="56" t="str">
        <f ca="1">IF(OR(WEEKDAY($F224)=1,WEEKDAY($F224)=7),"Weekend",IFERROR(INDEX(INDIRECT("HolTbl"&amp;HolidaySheet&amp;"[Holiday]"),MATCH($F224,INDIRECT("HolTbl"&amp;HolidaySheet&amp;"[Date]"),0)),$G$10))</f>
        <v>Good Business Date</v>
      </c>
    </row>
    <row r="225" spans="6:8" x14ac:dyDescent="0.25">
      <c r="F225" s="55">
        <f t="shared" si="3"/>
        <v>45141</v>
      </c>
      <c r="G225" s="14" cm="1">
        <f t="array" aca="1" ref="G225" ca="1">GetBusinessDate($F225,BusinessDayConv,IF(ISBLANK(HolidaySheet),HolidaySheet,INDIRECT("HolTbl"&amp;HolidaySheet&amp;"[Date]")))</f>
        <v>45141</v>
      </c>
      <c r="H225" s="56" t="str">
        <f ca="1">IF(OR(WEEKDAY($F225)=1,WEEKDAY($F225)=7),"Weekend",IFERROR(INDEX(INDIRECT("HolTbl"&amp;HolidaySheet&amp;"[Holiday]"),MATCH($F225,INDIRECT("HolTbl"&amp;HolidaySheet&amp;"[Date]"),0)),$G$10))</f>
        <v>Good Business Date</v>
      </c>
    </row>
    <row r="226" spans="6:8" x14ac:dyDescent="0.25">
      <c r="F226" s="55">
        <f t="shared" si="3"/>
        <v>45142</v>
      </c>
      <c r="G226" s="14" cm="1">
        <f t="array" aca="1" ref="G226" ca="1">GetBusinessDate($F226,BusinessDayConv,IF(ISBLANK(HolidaySheet),HolidaySheet,INDIRECT("HolTbl"&amp;HolidaySheet&amp;"[Date]")))</f>
        <v>45142</v>
      </c>
      <c r="H226" s="56" t="str">
        <f ca="1">IF(OR(WEEKDAY($F226)=1,WEEKDAY($F226)=7),"Weekend",IFERROR(INDEX(INDIRECT("HolTbl"&amp;HolidaySheet&amp;"[Holiday]"),MATCH($F226,INDIRECT("HolTbl"&amp;HolidaySheet&amp;"[Date]"),0)),$G$10))</f>
        <v>Good Business Date</v>
      </c>
    </row>
    <row r="227" spans="6:8" x14ac:dyDescent="0.25">
      <c r="F227" s="55">
        <f t="shared" si="3"/>
        <v>45143</v>
      </c>
      <c r="G227" s="14" cm="1">
        <f t="array" aca="1" ref="G227" ca="1">GetBusinessDate($F227,BusinessDayConv,IF(ISBLANK(HolidaySheet),HolidaySheet,INDIRECT("HolTbl"&amp;HolidaySheet&amp;"[Date]")))</f>
        <v>45145</v>
      </c>
      <c r="H227" s="56" t="str">
        <f ca="1">IF(OR(WEEKDAY($F227)=1,WEEKDAY($F227)=7),"Weekend",IFERROR(INDEX(INDIRECT("HolTbl"&amp;HolidaySheet&amp;"[Holiday]"),MATCH($F227,INDIRECT("HolTbl"&amp;HolidaySheet&amp;"[Date]"),0)),$G$10))</f>
        <v>Weekend</v>
      </c>
    </row>
    <row r="228" spans="6:8" x14ac:dyDescent="0.25">
      <c r="F228" s="55">
        <f t="shared" si="3"/>
        <v>45144</v>
      </c>
      <c r="G228" s="14" cm="1">
        <f t="array" aca="1" ref="G228" ca="1">GetBusinessDate($F228,BusinessDayConv,IF(ISBLANK(HolidaySheet),HolidaySheet,INDIRECT("HolTbl"&amp;HolidaySheet&amp;"[Date]")))</f>
        <v>45145</v>
      </c>
      <c r="H228" s="56" t="str">
        <f ca="1">IF(OR(WEEKDAY($F228)=1,WEEKDAY($F228)=7),"Weekend",IFERROR(INDEX(INDIRECT("HolTbl"&amp;HolidaySheet&amp;"[Holiday]"),MATCH($F228,INDIRECT("HolTbl"&amp;HolidaySheet&amp;"[Date]"),0)),$G$10))</f>
        <v>Weekend</v>
      </c>
    </row>
    <row r="229" spans="6:8" x14ac:dyDescent="0.25">
      <c r="F229" s="55">
        <f t="shared" si="3"/>
        <v>45145</v>
      </c>
      <c r="G229" s="14" cm="1">
        <f t="array" aca="1" ref="G229" ca="1">GetBusinessDate($F229,BusinessDayConv,IF(ISBLANK(HolidaySheet),HolidaySheet,INDIRECT("HolTbl"&amp;HolidaySheet&amp;"[Date]")))</f>
        <v>45145</v>
      </c>
      <c r="H229" s="56" t="str">
        <f ca="1">IF(OR(WEEKDAY($F229)=1,WEEKDAY($F229)=7),"Weekend",IFERROR(INDEX(INDIRECT("HolTbl"&amp;HolidaySheet&amp;"[Holiday]"),MATCH($F229,INDIRECT("HolTbl"&amp;HolidaySheet&amp;"[Date]"),0)),$G$10))</f>
        <v>Good Business Date</v>
      </c>
    </row>
    <row r="230" spans="6:8" x14ac:dyDescent="0.25">
      <c r="F230" s="55">
        <f t="shared" si="3"/>
        <v>45146</v>
      </c>
      <c r="G230" s="14" cm="1">
        <f t="array" aca="1" ref="G230" ca="1">GetBusinessDate($F230,BusinessDayConv,IF(ISBLANK(HolidaySheet),HolidaySheet,INDIRECT("HolTbl"&amp;HolidaySheet&amp;"[Date]")))</f>
        <v>45146</v>
      </c>
      <c r="H230" s="56" t="str">
        <f ca="1">IF(OR(WEEKDAY($F230)=1,WEEKDAY($F230)=7),"Weekend",IFERROR(INDEX(INDIRECT("HolTbl"&amp;HolidaySheet&amp;"[Holiday]"),MATCH($F230,INDIRECT("HolTbl"&amp;HolidaySheet&amp;"[Date]"),0)),$G$10))</f>
        <v>Good Business Date</v>
      </c>
    </row>
    <row r="231" spans="6:8" x14ac:dyDescent="0.25">
      <c r="F231" s="55">
        <f t="shared" si="3"/>
        <v>45147</v>
      </c>
      <c r="G231" s="14" cm="1">
        <f t="array" aca="1" ref="G231" ca="1">GetBusinessDate($F231,BusinessDayConv,IF(ISBLANK(HolidaySheet),HolidaySheet,INDIRECT("HolTbl"&amp;HolidaySheet&amp;"[Date]")))</f>
        <v>45147</v>
      </c>
      <c r="H231" s="56" t="str">
        <f ca="1">IF(OR(WEEKDAY($F231)=1,WEEKDAY($F231)=7),"Weekend",IFERROR(INDEX(INDIRECT("HolTbl"&amp;HolidaySheet&amp;"[Holiday]"),MATCH($F231,INDIRECT("HolTbl"&amp;HolidaySheet&amp;"[Date]"),0)),$G$10))</f>
        <v>Good Business Date</v>
      </c>
    </row>
    <row r="232" spans="6:8" x14ac:dyDescent="0.25">
      <c r="F232" s="55">
        <f t="shared" si="3"/>
        <v>45148</v>
      </c>
      <c r="G232" s="14" cm="1">
        <f t="array" aca="1" ref="G232" ca="1">GetBusinessDate($F232,BusinessDayConv,IF(ISBLANK(HolidaySheet),HolidaySheet,INDIRECT("HolTbl"&amp;HolidaySheet&amp;"[Date]")))</f>
        <v>45148</v>
      </c>
      <c r="H232" s="56" t="str">
        <f ca="1">IF(OR(WEEKDAY($F232)=1,WEEKDAY($F232)=7),"Weekend",IFERROR(INDEX(INDIRECT("HolTbl"&amp;HolidaySheet&amp;"[Holiday]"),MATCH($F232,INDIRECT("HolTbl"&amp;HolidaySheet&amp;"[Date]"),0)),$G$10))</f>
        <v>Good Business Date</v>
      </c>
    </row>
    <row r="233" spans="6:8" x14ac:dyDescent="0.25">
      <c r="F233" s="55">
        <f t="shared" si="3"/>
        <v>45149</v>
      </c>
      <c r="G233" s="14" cm="1">
        <f t="array" aca="1" ref="G233" ca="1">GetBusinessDate($F233,BusinessDayConv,IF(ISBLANK(HolidaySheet),HolidaySheet,INDIRECT("HolTbl"&amp;HolidaySheet&amp;"[Date]")))</f>
        <v>45149</v>
      </c>
      <c r="H233" s="56" t="str">
        <f ca="1">IF(OR(WEEKDAY($F233)=1,WEEKDAY($F233)=7),"Weekend",IFERROR(INDEX(INDIRECT("HolTbl"&amp;HolidaySheet&amp;"[Holiday]"),MATCH($F233,INDIRECT("HolTbl"&amp;HolidaySheet&amp;"[Date]"),0)),$G$10))</f>
        <v>Good Business Date</v>
      </c>
    </row>
    <row r="234" spans="6:8" x14ac:dyDescent="0.25">
      <c r="F234" s="55">
        <f t="shared" si="3"/>
        <v>45150</v>
      </c>
      <c r="G234" s="14" cm="1">
        <f t="array" aca="1" ref="G234" ca="1">GetBusinessDate($F234,BusinessDayConv,IF(ISBLANK(HolidaySheet),HolidaySheet,INDIRECT("HolTbl"&amp;HolidaySheet&amp;"[Date]")))</f>
        <v>45152</v>
      </c>
      <c r="H234" s="56" t="str">
        <f ca="1">IF(OR(WEEKDAY($F234)=1,WEEKDAY($F234)=7),"Weekend",IFERROR(INDEX(INDIRECT("HolTbl"&amp;HolidaySheet&amp;"[Holiday]"),MATCH($F234,INDIRECT("HolTbl"&amp;HolidaySheet&amp;"[Date]"),0)),$G$10))</f>
        <v>Weekend</v>
      </c>
    </row>
    <row r="235" spans="6:8" x14ac:dyDescent="0.25">
      <c r="F235" s="55">
        <f t="shared" si="3"/>
        <v>45151</v>
      </c>
      <c r="G235" s="14" cm="1">
        <f t="array" aca="1" ref="G235" ca="1">GetBusinessDate($F235,BusinessDayConv,IF(ISBLANK(HolidaySheet),HolidaySheet,INDIRECT("HolTbl"&amp;HolidaySheet&amp;"[Date]")))</f>
        <v>45152</v>
      </c>
      <c r="H235" s="56" t="str">
        <f ca="1">IF(OR(WEEKDAY($F235)=1,WEEKDAY($F235)=7),"Weekend",IFERROR(INDEX(INDIRECT("HolTbl"&amp;HolidaySheet&amp;"[Holiday]"),MATCH($F235,INDIRECT("HolTbl"&amp;HolidaySheet&amp;"[Date]"),0)),$G$10))</f>
        <v>Weekend</v>
      </c>
    </row>
    <row r="236" spans="6:8" x14ac:dyDescent="0.25">
      <c r="F236" s="55">
        <f t="shared" si="3"/>
        <v>45152</v>
      </c>
      <c r="G236" s="14" cm="1">
        <f t="array" aca="1" ref="G236" ca="1">GetBusinessDate($F236,BusinessDayConv,IF(ISBLANK(HolidaySheet),HolidaySheet,INDIRECT("HolTbl"&amp;HolidaySheet&amp;"[Date]")))</f>
        <v>45152</v>
      </c>
      <c r="H236" s="56" t="str">
        <f ca="1">IF(OR(WEEKDAY($F236)=1,WEEKDAY($F236)=7),"Weekend",IFERROR(INDEX(INDIRECT("HolTbl"&amp;HolidaySheet&amp;"[Holiday]"),MATCH($F236,INDIRECT("HolTbl"&amp;HolidaySheet&amp;"[Date]"),0)),$G$10))</f>
        <v>Good Business Date</v>
      </c>
    </row>
    <row r="237" spans="6:8" x14ac:dyDescent="0.25">
      <c r="F237" s="55">
        <f t="shared" si="3"/>
        <v>45153</v>
      </c>
      <c r="G237" s="14" cm="1">
        <f t="array" aca="1" ref="G237" ca="1">GetBusinessDate($F237,BusinessDayConv,IF(ISBLANK(HolidaySheet),HolidaySheet,INDIRECT("HolTbl"&amp;HolidaySheet&amp;"[Date]")))</f>
        <v>45153</v>
      </c>
      <c r="H237" s="56" t="str">
        <f ca="1">IF(OR(WEEKDAY($F237)=1,WEEKDAY($F237)=7),"Weekend",IFERROR(INDEX(INDIRECT("HolTbl"&amp;HolidaySheet&amp;"[Holiday]"),MATCH($F237,INDIRECT("HolTbl"&amp;HolidaySheet&amp;"[Date]"),0)),$G$10))</f>
        <v>Good Business Date</v>
      </c>
    </row>
    <row r="238" spans="6:8" x14ac:dyDescent="0.25">
      <c r="F238" s="55">
        <f t="shared" si="3"/>
        <v>45154</v>
      </c>
      <c r="G238" s="14" cm="1">
        <f t="array" aca="1" ref="G238" ca="1">GetBusinessDate($F238,BusinessDayConv,IF(ISBLANK(HolidaySheet),HolidaySheet,INDIRECT("HolTbl"&amp;HolidaySheet&amp;"[Date]")))</f>
        <v>45154</v>
      </c>
      <c r="H238" s="56" t="str">
        <f ca="1">IF(OR(WEEKDAY($F238)=1,WEEKDAY($F238)=7),"Weekend",IFERROR(INDEX(INDIRECT("HolTbl"&amp;HolidaySheet&amp;"[Holiday]"),MATCH($F238,INDIRECT("HolTbl"&amp;HolidaySheet&amp;"[Date]"),0)),$G$10))</f>
        <v>Good Business Date</v>
      </c>
    </row>
    <row r="239" spans="6:8" x14ac:dyDescent="0.25">
      <c r="F239" s="55">
        <f t="shared" si="3"/>
        <v>45155</v>
      </c>
      <c r="G239" s="14" cm="1">
        <f t="array" aca="1" ref="G239" ca="1">GetBusinessDate($F239,BusinessDayConv,IF(ISBLANK(HolidaySheet),HolidaySheet,INDIRECT("HolTbl"&amp;HolidaySheet&amp;"[Date]")))</f>
        <v>45155</v>
      </c>
      <c r="H239" s="56" t="str">
        <f ca="1">IF(OR(WEEKDAY($F239)=1,WEEKDAY($F239)=7),"Weekend",IFERROR(INDEX(INDIRECT("HolTbl"&amp;HolidaySheet&amp;"[Holiday]"),MATCH($F239,INDIRECT("HolTbl"&amp;HolidaySheet&amp;"[Date]"),0)),$G$10))</f>
        <v>Good Business Date</v>
      </c>
    </row>
    <row r="240" spans="6:8" x14ac:dyDescent="0.25">
      <c r="F240" s="55">
        <f t="shared" si="3"/>
        <v>45156</v>
      </c>
      <c r="G240" s="14" cm="1">
        <f t="array" aca="1" ref="G240" ca="1">GetBusinessDate($F240,BusinessDayConv,IF(ISBLANK(HolidaySheet),HolidaySheet,INDIRECT("HolTbl"&amp;HolidaySheet&amp;"[Date]")))</f>
        <v>45156</v>
      </c>
      <c r="H240" s="56" t="str">
        <f ca="1">IF(OR(WEEKDAY($F240)=1,WEEKDAY($F240)=7),"Weekend",IFERROR(INDEX(INDIRECT("HolTbl"&amp;HolidaySheet&amp;"[Holiday]"),MATCH($F240,INDIRECT("HolTbl"&amp;HolidaySheet&amp;"[Date]"),0)),$G$10))</f>
        <v>Good Business Date</v>
      </c>
    </row>
    <row r="241" spans="6:8" x14ac:dyDescent="0.25">
      <c r="F241" s="55">
        <f t="shared" si="3"/>
        <v>45157</v>
      </c>
      <c r="G241" s="14" cm="1">
        <f t="array" aca="1" ref="G241" ca="1">GetBusinessDate($F241,BusinessDayConv,IF(ISBLANK(HolidaySheet),HolidaySheet,INDIRECT("HolTbl"&amp;HolidaySheet&amp;"[Date]")))</f>
        <v>45159</v>
      </c>
      <c r="H241" s="56" t="str">
        <f ca="1">IF(OR(WEEKDAY($F241)=1,WEEKDAY($F241)=7),"Weekend",IFERROR(INDEX(INDIRECT("HolTbl"&amp;HolidaySheet&amp;"[Holiday]"),MATCH($F241,INDIRECT("HolTbl"&amp;HolidaySheet&amp;"[Date]"),0)),$G$10))</f>
        <v>Weekend</v>
      </c>
    </row>
    <row r="242" spans="6:8" x14ac:dyDescent="0.25">
      <c r="F242" s="55">
        <f t="shared" si="3"/>
        <v>45158</v>
      </c>
      <c r="G242" s="14" cm="1">
        <f t="array" aca="1" ref="G242" ca="1">GetBusinessDate($F242,BusinessDayConv,IF(ISBLANK(HolidaySheet),HolidaySheet,INDIRECT("HolTbl"&amp;HolidaySheet&amp;"[Date]")))</f>
        <v>45159</v>
      </c>
      <c r="H242" s="56" t="str">
        <f ca="1">IF(OR(WEEKDAY($F242)=1,WEEKDAY($F242)=7),"Weekend",IFERROR(INDEX(INDIRECT("HolTbl"&amp;HolidaySheet&amp;"[Holiday]"),MATCH($F242,INDIRECT("HolTbl"&amp;HolidaySheet&amp;"[Date]"),0)),$G$10))</f>
        <v>Weekend</v>
      </c>
    </row>
    <row r="243" spans="6:8" x14ac:dyDescent="0.25">
      <c r="F243" s="55">
        <f t="shared" si="3"/>
        <v>45159</v>
      </c>
      <c r="G243" s="14" cm="1">
        <f t="array" aca="1" ref="G243" ca="1">GetBusinessDate($F243,BusinessDayConv,IF(ISBLANK(HolidaySheet),HolidaySheet,INDIRECT("HolTbl"&amp;HolidaySheet&amp;"[Date]")))</f>
        <v>45159</v>
      </c>
      <c r="H243" s="56" t="str">
        <f ca="1">IF(OR(WEEKDAY($F243)=1,WEEKDAY($F243)=7),"Weekend",IFERROR(INDEX(INDIRECT("HolTbl"&amp;HolidaySheet&amp;"[Holiday]"),MATCH($F243,INDIRECT("HolTbl"&amp;HolidaySheet&amp;"[Date]"),0)),$G$10))</f>
        <v>Good Business Date</v>
      </c>
    </row>
    <row r="244" spans="6:8" x14ac:dyDescent="0.25">
      <c r="F244" s="55">
        <f t="shared" si="3"/>
        <v>45160</v>
      </c>
      <c r="G244" s="14" cm="1">
        <f t="array" aca="1" ref="G244" ca="1">GetBusinessDate($F244,BusinessDayConv,IF(ISBLANK(HolidaySheet),HolidaySheet,INDIRECT("HolTbl"&amp;HolidaySheet&amp;"[Date]")))</f>
        <v>45160</v>
      </c>
      <c r="H244" s="56" t="str">
        <f ca="1">IF(OR(WEEKDAY($F244)=1,WEEKDAY($F244)=7),"Weekend",IFERROR(INDEX(INDIRECT("HolTbl"&amp;HolidaySheet&amp;"[Holiday]"),MATCH($F244,INDIRECT("HolTbl"&amp;HolidaySheet&amp;"[Date]"),0)),$G$10))</f>
        <v>Good Business Date</v>
      </c>
    </row>
    <row r="245" spans="6:8" x14ac:dyDescent="0.25">
      <c r="F245" s="55">
        <f t="shared" si="3"/>
        <v>45161</v>
      </c>
      <c r="G245" s="14" cm="1">
        <f t="array" aca="1" ref="G245" ca="1">GetBusinessDate($F245,BusinessDayConv,IF(ISBLANK(HolidaySheet),HolidaySheet,INDIRECT("HolTbl"&amp;HolidaySheet&amp;"[Date]")))</f>
        <v>45161</v>
      </c>
      <c r="H245" s="56" t="str">
        <f ca="1">IF(OR(WEEKDAY($F245)=1,WEEKDAY($F245)=7),"Weekend",IFERROR(INDEX(INDIRECT("HolTbl"&amp;HolidaySheet&amp;"[Holiday]"),MATCH($F245,INDIRECT("HolTbl"&amp;HolidaySheet&amp;"[Date]"),0)),$G$10))</f>
        <v>Good Business Date</v>
      </c>
    </row>
    <row r="246" spans="6:8" x14ac:dyDescent="0.25">
      <c r="F246" s="55">
        <f t="shared" si="3"/>
        <v>45162</v>
      </c>
      <c r="G246" s="14" cm="1">
        <f t="array" aca="1" ref="G246" ca="1">GetBusinessDate($F246,BusinessDayConv,IF(ISBLANK(HolidaySheet),HolidaySheet,INDIRECT("HolTbl"&amp;HolidaySheet&amp;"[Date]")))</f>
        <v>45162</v>
      </c>
      <c r="H246" s="56" t="str">
        <f ca="1">IF(OR(WEEKDAY($F246)=1,WEEKDAY($F246)=7),"Weekend",IFERROR(INDEX(INDIRECT("HolTbl"&amp;HolidaySheet&amp;"[Holiday]"),MATCH($F246,INDIRECT("HolTbl"&amp;HolidaySheet&amp;"[Date]"),0)),$G$10))</f>
        <v>Good Business Date</v>
      </c>
    </row>
    <row r="247" spans="6:8" x14ac:dyDescent="0.25">
      <c r="F247" s="55">
        <f t="shared" si="3"/>
        <v>45163</v>
      </c>
      <c r="G247" s="14" cm="1">
        <f t="array" aca="1" ref="G247" ca="1">GetBusinessDate($F247,BusinessDayConv,IF(ISBLANK(HolidaySheet),HolidaySheet,INDIRECT("HolTbl"&amp;HolidaySheet&amp;"[Date]")))</f>
        <v>45163</v>
      </c>
      <c r="H247" s="56" t="str">
        <f ca="1">IF(OR(WEEKDAY($F247)=1,WEEKDAY($F247)=7),"Weekend",IFERROR(INDEX(INDIRECT("HolTbl"&amp;HolidaySheet&amp;"[Holiday]"),MATCH($F247,INDIRECT("HolTbl"&amp;HolidaySheet&amp;"[Date]"),0)),$G$10))</f>
        <v>Good Business Date</v>
      </c>
    </row>
    <row r="248" spans="6:8" x14ac:dyDescent="0.25">
      <c r="F248" s="55">
        <f t="shared" si="3"/>
        <v>45164</v>
      </c>
      <c r="G248" s="14" cm="1">
        <f t="array" aca="1" ref="G248" ca="1">GetBusinessDate($F248,BusinessDayConv,IF(ISBLANK(HolidaySheet),HolidaySheet,INDIRECT("HolTbl"&amp;HolidaySheet&amp;"[Date]")))</f>
        <v>45166</v>
      </c>
      <c r="H248" s="56" t="str">
        <f ca="1">IF(OR(WEEKDAY($F248)=1,WEEKDAY($F248)=7),"Weekend",IFERROR(INDEX(INDIRECT("HolTbl"&amp;HolidaySheet&amp;"[Holiday]"),MATCH($F248,INDIRECT("HolTbl"&amp;HolidaySheet&amp;"[Date]"),0)),$G$10))</f>
        <v>Weekend</v>
      </c>
    </row>
    <row r="249" spans="6:8" x14ac:dyDescent="0.25">
      <c r="F249" s="55">
        <f t="shared" si="3"/>
        <v>45165</v>
      </c>
      <c r="G249" s="14" cm="1">
        <f t="array" aca="1" ref="G249" ca="1">GetBusinessDate($F249,BusinessDayConv,IF(ISBLANK(HolidaySheet),HolidaySheet,INDIRECT("HolTbl"&amp;HolidaySheet&amp;"[Date]")))</f>
        <v>45166</v>
      </c>
      <c r="H249" s="56" t="str">
        <f ca="1">IF(OR(WEEKDAY($F249)=1,WEEKDAY($F249)=7),"Weekend",IFERROR(INDEX(INDIRECT("HolTbl"&amp;HolidaySheet&amp;"[Holiday]"),MATCH($F249,INDIRECT("HolTbl"&amp;HolidaySheet&amp;"[Date]"),0)),$G$10))</f>
        <v>Weekend</v>
      </c>
    </row>
    <row r="250" spans="6:8" x14ac:dyDescent="0.25">
      <c r="F250" s="55">
        <f t="shared" si="3"/>
        <v>45166</v>
      </c>
      <c r="G250" s="14" cm="1">
        <f t="array" aca="1" ref="G250" ca="1">GetBusinessDate($F250,BusinessDayConv,IF(ISBLANK(HolidaySheet),HolidaySheet,INDIRECT("HolTbl"&amp;HolidaySheet&amp;"[Date]")))</f>
        <v>45166</v>
      </c>
      <c r="H250" s="56" t="str">
        <f ca="1">IF(OR(WEEKDAY($F250)=1,WEEKDAY($F250)=7),"Weekend",IFERROR(INDEX(INDIRECT("HolTbl"&amp;HolidaySheet&amp;"[Holiday]"),MATCH($F250,INDIRECT("HolTbl"&amp;HolidaySheet&amp;"[Date]"),0)),$G$10))</f>
        <v>Good Business Date</v>
      </c>
    </row>
    <row r="251" spans="6:8" x14ac:dyDescent="0.25">
      <c r="F251" s="55">
        <f t="shared" si="3"/>
        <v>45167</v>
      </c>
      <c r="G251" s="14" cm="1">
        <f t="array" aca="1" ref="G251" ca="1">GetBusinessDate($F251,BusinessDayConv,IF(ISBLANK(HolidaySheet),HolidaySheet,INDIRECT("HolTbl"&amp;HolidaySheet&amp;"[Date]")))</f>
        <v>45167</v>
      </c>
      <c r="H251" s="56" t="str">
        <f ca="1">IF(OR(WEEKDAY($F251)=1,WEEKDAY($F251)=7),"Weekend",IFERROR(INDEX(INDIRECT("HolTbl"&amp;HolidaySheet&amp;"[Holiday]"),MATCH($F251,INDIRECT("HolTbl"&amp;HolidaySheet&amp;"[Date]"),0)),$G$10))</f>
        <v>Good Business Date</v>
      </c>
    </row>
    <row r="252" spans="6:8" x14ac:dyDescent="0.25">
      <c r="F252" s="55">
        <f t="shared" si="3"/>
        <v>45168</v>
      </c>
      <c r="G252" s="14" cm="1">
        <f t="array" aca="1" ref="G252" ca="1">GetBusinessDate($F252,BusinessDayConv,IF(ISBLANK(HolidaySheet),HolidaySheet,INDIRECT("HolTbl"&amp;HolidaySheet&amp;"[Date]")))</f>
        <v>45168</v>
      </c>
      <c r="H252" s="56" t="str">
        <f ca="1">IF(OR(WEEKDAY($F252)=1,WEEKDAY($F252)=7),"Weekend",IFERROR(INDEX(INDIRECT("HolTbl"&amp;HolidaySheet&amp;"[Holiday]"),MATCH($F252,INDIRECT("HolTbl"&amp;HolidaySheet&amp;"[Date]"),0)),$G$10))</f>
        <v>Good Business Date</v>
      </c>
    </row>
    <row r="253" spans="6:8" x14ac:dyDescent="0.25">
      <c r="F253" s="55">
        <f t="shared" si="3"/>
        <v>45169</v>
      </c>
      <c r="G253" s="14" cm="1">
        <f t="array" aca="1" ref="G253" ca="1">GetBusinessDate($F253,BusinessDayConv,IF(ISBLANK(HolidaySheet),HolidaySheet,INDIRECT("HolTbl"&amp;HolidaySheet&amp;"[Date]")))</f>
        <v>45169</v>
      </c>
      <c r="H253" s="56" t="str">
        <f ca="1">IF(OR(WEEKDAY($F253)=1,WEEKDAY($F253)=7),"Weekend",IFERROR(INDEX(INDIRECT("HolTbl"&amp;HolidaySheet&amp;"[Holiday]"),MATCH($F253,INDIRECT("HolTbl"&amp;HolidaySheet&amp;"[Date]"),0)),$G$10))</f>
        <v>Good Business Date</v>
      </c>
    </row>
    <row r="254" spans="6:8" x14ac:dyDescent="0.25">
      <c r="F254" s="55">
        <f t="shared" si="3"/>
        <v>45170</v>
      </c>
      <c r="G254" s="14" cm="1">
        <f t="array" aca="1" ref="G254" ca="1">GetBusinessDate($F254,BusinessDayConv,IF(ISBLANK(HolidaySheet),HolidaySheet,INDIRECT("HolTbl"&amp;HolidaySheet&amp;"[Date]")))</f>
        <v>45170</v>
      </c>
      <c r="H254" s="56" t="str">
        <f ca="1">IF(OR(WEEKDAY($F254)=1,WEEKDAY($F254)=7),"Weekend",IFERROR(INDEX(INDIRECT("HolTbl"&amp;HolidaySheet&amp;"[Holiday]"),MATCH($F254,INDIRECT("HolTbl"&amp;HolidaySheet&amp;"[Date]"),0)),$G$10))</f>
        <v>Good Business Date</v>
      </c>
    </row>
    <row r="255" spans="6:8" x14ac:dyDescent="0.25">
      <c r="F255" s="55">
        <f t="shared" si="3"/>
        <v>45171</v>
      </c>
      <c r="G255" s="14" cm="1">
        <f t="array" aca="1" ref="G255" ca="1">GetBusinessDate($F255,BusinessDayConv,IF(ISBLANK(HolidaySheet),HolidaySheet,INDIRECT("HolTbl"&amp;HolidaySheet&amp;"[Date]")))</f>
        <v>45174</v>
      </c>
      <c r="H255" s="56" t="str">
        <f ca="1">IF(OR(WEEKDAY($F255)=1,WEEKDAY($F255)=7),"Weekend",IFERROR(INDEX(INDIRECT("HolTbl"&amp;HolidaySheet&amp;"[Holiday]"),MATCH($F255,INDIRECT("HolTbl"&amp;HolidaySheet&amp;"[Date]"),0)),$G$10))</f>
        <v>Weekend</v>
      </c>
    </row>
    <row r="256" spans="6:8" x14ac:dyDescent="0.25">
      <c r="F256" s="55">
        <f t="shared" si="3"/>
        <v>45172</v>
      </c>
      <c r="G256" s="14" cm="1">
        <f t="array" aca="1" ref="G256" ca="1">GetBusinessDate($F256,BusinessDayConv,IF(ISBLANK(HolidaySheet),HolidaySheet,INDIRECT("HolTbl"&amp;HolidaySheet&amp;"[Date]")))</f>
        <v>45174</v>
      </c>
      <c r="H256" s="56" t="str">
        <f ca="1">IF(OR(WEEKDAY($F256)=1,WEEKDAY($F256)=7),"Weekend",IFERROR(INDEX(INDIRECT("HolTbl"&amp;HolidaySheet&amp;"[Holiday]"),MATCH($F256,INDIRECT("HolTbl"&amp;HolidaySheet&amp;"[Date]"),0)),$G$10))</f>
        <v>Weekend</v>
      </c>
    </row>
    <row r="257" spans="6:8" x14ac:dyDescent="0.25">
      <c r="F257" s="55">
        <f t="shared" si="3"/>
        <v>45173</v>
      </c>
      <c r="G257" s="14" cm="1">
        <f t="array" aca="1" ref="G257" ca="1">GetBusinessDate($F257,BusinessDayConv,IF(ISBLANK(HolidaySheet),HolidaySheet,INDIRECT("HolTbl"&amp;HolidaySheet&amp;"[Date]")))</f>
        <v>45174</v>
      </c>
      <c r="H257" s="56" t="str">
        <f ca="1">IF(OR(WEEKDAY($F257)=1,WEEKDAY($F257)=7),"Weekend",IFERROR(INDEX(INDIRECT("HolTbl"&amp;HolidaySheet&amp;"[Holiday]"),MATCH($F257,INDIRECT("HolTbl"&amp;HolidaySheet&amp;"[Date]"),0)),$G$10))</f>
        <v>Labor Day</v>
      </c>
    </row>
    <row r="258" spans="6:8" x14ac:dyDescent="0.25">
      <c r="F258" s="55">
        <f t="shared" si="3"/>
        <v>45174</v>
      </c>
      <c r="G258" s="14" cm="1">
        <f t="array" aca="1" ref="G258" ca="1">GetBusinessDate($F258,BusinessDayConv,IF(ISBLANK(HolidaySheet),HolidaySheet,INDIRECT("HolTbl"&amp;HolidaySheet&amp;"[Date]")))</f>
        <v>45174</v>
      </c>
      <c r="H258" s="56" t="str">
        <f ca="1">IF(OR(WEEKDAY($F258)=1,WEEKDAY($F258)=7),"Weekend",IFERROR(INDEX(INDIRECT("HolTbl"&amp;HolidaySheet&amp;"[Holiday]"),MATCH($F258,INDIRECT("HolTbl"&amp;HolidaySheet&amp;"[Date]"),0)),$G$10))</f>
        <v>Good Business Date</v>
      </c>
    </row>
    <row r="259" spans="6:8" x14ac:dyDescent="0.25">
      <c r="F259" s="55">
        <f t="shared" si="3"/>
        <v>45175</v>
      </c>
      <c r="G259" s="14" cm="1">
        <f t="array" aca="1" ref="G259" ca="1">GetBusinessDate($F259,BusinessDayConv,IF(ISBLANK(HolidaySheet),HolidaySheet,INDIRECT("HolTbl"&amp;HolidaySheet&amp;"[Date]")))</f>
        <v>45175</v>
      </c>
      <c r="H259" s="56" t="str">
        <f ca="1">IF(OR(WEEKDAY($F259)=1,WEEKDAY($F259)=7),"Weekend",IFERROR(INDEX(INDIRECT("HolTbl"&amp;HolidaySheet&amp;"[Holiday]"),MATCH($F259,INDIRECT("HolTbl"&amp;HolidaySheet&amp;"[Date]"),0)),$G$10))</f>
        <v>Good Business Date</v>
      </c>
    </row>
    <row r="260" spans="6:8" x14ac:dyDescent="0.25">
      <c r="F260" s="55">
        <f t="shared" si="3"/>
        <v>45176</v>
      </c>
      <c r="G260" s="14" cm="1">
        <f t="array" aca="1" ref="G260" ca="1">GetBusinessDate($F260,BusinessDayConv,IF(ISBLANK(HolidaySheet),HolidaySheet,INDIRECT("HolTbl"&amp;HolidaySheet&amp;"[Date]")))</f>
        <v>45176</v>
      </c>
      <c r="H260" s="56" t="str">
        <f ca="1">IF(OR(WEEKDAY($F260)=1,WEEKDAY($F260)=7),"Weekend",IFERROR(INDEX(INDIRECT("HolTbl"&amp;HolidaySheet&amp;"[Holiday]"),MATCH($F260,INDIRECT("HolTbl"&amp;HolidaySheet&amp;"[Date]"),0)),$G$10))</f>
        <v>Good Business Date</v>
      </c>
    </row>
    <row r="261" spans="6:8" x14ac:dyDescent="0.25">
      <c r="F261" s="55">
        <f t="shared" si="3"/>
        <v>45177</v>
      </c>
      <c r="G261" s="14" cm="1">
        <f t="array" aca="1" ref="G261" ca="1">GetBusinessDate($F261,BusinessDayConv,IF(ISBLANK(HolidaySheet),HolidaySheet,INDIRECT("HolTbl"&amp;HolidaySheet&amp;"[Date]")))</f>
        <v>45177</v>
      </c>
      <c r="H261" s="56" t="str">
        <f ca="1">IF(OR(WEEKDAY($F261)=1,WEEKDAY($F261)=7),"Weekend",IFERROR(INDEX(INDIRECT("HolTbl"&amp;HolidaySheet&amp;"[Holiday]"),MATCH($F261,INDIRECT("HolTbl"&amp;HolidaySheet&amp;"[Date]"),0)),$G$10))</f>
        <v>Good Business Date</v>
      </c>
    </row>
    <row r="262" spans="6:8" x14ac:dyDescent="0.25">
      <c r="F262" s="55">
        <f t="shared" si="3"/>
        <v>45178</v>
      </c>
      <c r="G262" s="14" cm="1">
        <f t="array" aca="1" ref="G262" ca="1">GetBusinessDate($F262,BusinessDayConv,IF(ISBLANK(HolidaySheet),HolidaySheet,INDIRECT("HolTbl"&amp;HolidaySheet&amp;"[Date]")))</f>
        <v>45180</v>
      </c>
      <c r="H262" s="56" t="str">
        <f ca="1">IF(OR(WEEKDAY($F262)=1,WEEKDAY($F262)=7),"Weekend",IFERROR(INDEX(INDIRECT("HolTbl"&amp;HolidaySheet&amp;"[Holiday]"),MATCH($F262,INDIRECT("HolTbl"&amp;HolidaySheet&amp;"[Date]"),0)),$G$10))</f>
        <v>Weekend</v>
      </c>
    </row>
    <row r="263" spans="6:8" x14ac:dyDescent="0.25">
      <c r="F263" s="55">
        <f t="shared" si="3"/>
        <v>45179</v>
      </c>
      <c r="G263" s="14" cm="1">
        <f t="array" aca="1" ref="G263" ca="1">GetBusinessDate($F263,BusinessDayConv,IF(ISBLANK(HolidaySheet),HolidaySheet,INDIRECT("HolTbl"&amp;HolidaySheet&amp;"[Date]")))</f>
        <v>45180</v>
      </c>
      <c r="H263" s="56" t="str">
        <f ca="1">IF(OR(WEEKDAY($F263)=1,WEEKDAY($F263)=7),"Weekend",IFERROR(INDEX(INDIRECT("HolTbl"&amp;HolidaySheet&amp;"[Holiday]"),MATCH($F263,INDIRECT("HolTbl"&amp;HolidaySheet&amp;"[Date]"),0)),$G$10))</f>
        <v>Weekend</v>
      </c>
    </row>
    <row r="264" spans="6:8" x14ac:dyDescent="0.25">
      <c r="F264" s="55">
        <f t="shared" si="3"/>
        <v>45180</v>
      </c>
      <c r="G264" s="14" cm="1">
        <f t="array" aca="1" ref="G264" ca="1">GetBusinessDate($F264,BusinessDayConv,IF(ISBLANK(HolidaySheet),HolidaySheet,INDIRECT("HolTbl"&amp;HolidaySheet&amp;"[Date]")))</f>
        <v>45180</v>
      </c>
      <c r="H264" s="56" t="str">
        <f ca="1">IF(OR(WEEKDAY($F264)=1,WEEKDAY($F264)=7),"Weekend",IFERROR(INDEX(INDIRECT("HolTbl"&amp;HolidaySheet&amp;"[Holiday]"),MATCH($F264,INDIRECT("HolTbl"&amp;HolidaySheet&amp;"[Date]"),0)),$G$10))</f>
        <v>Good Business Date</v>
      </c>
    </row>
    <row r="265" spans="6:8" x14ac:dyDescent="0.25">
      <c r="F265" s="55">
        <f t="shared" si="3"/>
        <v>45181</v>
      </c>
      <c r="G265" s="14" cm="1">
        <f t="array" aca="1" ref="G265" ca="1">GetBusinessDate($F265,BusinessDayConv,IF(ISBLANK(HolidaySheet),HolidaySheet,INDIRECT("HolTbl"&amp;HolidaySheet&amp;"[Date]")))</f>
        <v>45181</v>
      </c>
      <c r="H265" s="56" t="str">
        <f ca="1">IF(OR(WEEKDAY($F265)=1,WEEKDAY($F265)=7),"Weekend",IFERROR(INDEX(INDIRECT("HolTbl"&amp;HolidaySheet&amp;"[Holiday]"),MATCH($F265,INDIRECT("HolTbl"&amp;HolidaySheet&amp;"[Date]"),0)),$G$10))</f>
        <v>Good Business Date</v>
      </c>
    </row>
    <row r="266" spans="6:8" x14ac:dyDescent="0.25">
      <c r="F266" s="55">
        <f t="shared" si="3"/>
        <v>45182</v>
      </c>
      <c r="G266" s="14" cm="1">
        <f t="array" aca="1" ref="G266" ca="1">GetBusinessDate($F266,BusinessDayConv,IF(ISBLANK(HolidaySheet),HolidaySheet,INDIRECT("HolTbl"&amp;HolidaySheet&amp;"[Date]")))</f>
        <v>45182</v>
      </c>
      <c r="H266" s="56" t="str">
        <f ca="1">IF(OR(WEEKDAY($F266)=1,WEEKDAY($F266)=7),"Weekend",IFERROR(INDEX(INDIRECT("HolTbl"&amp;HolidaySheet&amp;"[Holiday]"),MATCH($F266,INDIRECT("HolTbl"&amp;HolidaySheet&amp;"[Date]"),0)),$G$10))</f>
        <v>Good Business Date</v>
      </c>
    </row>
    <row r="267" spans="6:8" x14ac:dyDescent="0.25">
      <c r="F267" s="55">
        <f t="shared" si="3"/>
        <v>45183</v>
      </c>
      <c r="G267" s="14" cm="1">
        <f t="array" aca="1" ref="G267" ca="1">GetBusinessDate($F267,BusinessDayConv,IF(ISBLANK(HolidaySheet),HolidaySheet,INDIRECT("HolTbl"&amp;HolidaySheet&amp;"[Date]")))</f>
        <v>45183</v>
      </c>
      <c r="H267" s="56" t="str">
        <f ca="1">IF(OR(WEEKDAY($F267)=1,WEEKDAY($F267)=7),"Weekend",IFERROR(INDEX(INDIRECT("HolTbl"&amp;HolidaySheet&amp;"[Holiday]"),MATCH($F267,INDIRECT("HolTbl"&amp;HolidaySheet&amp;"[Date]"),0)),$G$10))</f>
        <v>Good Business Date</v>
      </c>
    </row>
    <row r="268" spans="6:8" x14ac:dyDescent="0.25">
      <c r="F268" s="55">
        <f t="shared" si="3"/>
        <v>45184</v>
      </c>
      <c r="G268" s="14" cm="1">
        <f t="array" aca="1" ref="G268" ca="1">GetBusinessDate($F268,BusinessDayConv,IF(ISBLANK(HolidaySheet),HolidaySheet,INDIRECT("HolTbl"&amp;HolidaySheet&amp;"[Date]")))</f>
        <v>45184</v>
      </c>
      <c r="H268" s="56" t="str">
        <f ca="1">IF(OR(WEEKDAY($F268)=1,WEEKDAY($F268)=7),"Weekend",IFERROR(INDEX(INDIRECT("HolTbl"&amp;HolidaySheet&amp;"[Holiday]"),MATCH($F268,INDIRECT("HolTbl"&amp;HolidaySheet&amp;"[Date]"),0)),$G$10))</f>
        <v>Good Business Date</v>
      </c>
    </row>
    <row r="269" spans="6:8" x14ac:dyDescent="0.25">
      <c r="F269" s="55">
        <f t="shared" ref="F269:F332" si="4">F268+1</f>
        <v>45185</v>
      </c>
      <c r="G269" s="14" cm="1">
        <f t="array" aca="1" ref="G269" ca="1">GetBusinessDate($F269,BusinessDayConv,IF(ISBLANK(HolidaySheet),HolidaySheet,INDIRECT("HolTbl"&amp;HolidaySheet&amp;"[Date]")))</f>
        <v>45187</v>
      </c>
      <c r="H269" s="56" t="str">
        <f ca="1">IF(OR(WEEKDAY($F269)=1,WEEKDAY($F269)=7),"Weekend",IFERROR(INDEX(INDIRECT("HolTbl"&amp;HolidaySheet&amp;"[Holiday]"),MATCH($F269,INDIRECT("HolTbl"&amp;HolidaySheet&amp;"[Date]"),0)),$G$10))</f>
        <v>Weekend</v>
      </c>
    </row>
    <row r="270" spans="6:8" x14ac:dyDescent="0.25">
      <c r="F270" s="55">
        <f t="shared" si="4"/>
        <v>45186</v>
      </c>
      <c r="G270" s="14" cm="1">
        <f t="array" aca="1" ref="G270" ca="1">GetBusinessDate($F270,BusinessDayConv,IF(ISBLANK(HolidaySheet),HolidaySheet,INDIRECT("HolTbl"&amp;HolidaySheet&amp;"[Date]")))</f>
        <v>45187</v>
      </c>
      <c r="H270" s="56" t="str">
        <f ca="1">IF(OR(WEEKDAY($F270)=1,WEEKDAY($F270)=7),"Weekend",IFERROR(INDEX(INDIRECT("HolTbl"&amp;HolidaySheet&amp;"[Holiday]"),MATCH($F270,INDIRECT("HolTbl"&amp;HolidaySheet&amp;"[Date]"),0)),$G$10))</f>
        <v>Weekend</v>
      </c>
    </row>
    <row r="271" spans="6:8" x14ac:dyDescent="0.25">
      <c r="F271" s="55">
        <f t="shared" si="4"/>
        <v>45187</v>
      </c>
      <c r="G271" s="14" cm="1">
        <f t="array" aca="1" ref="G271" ca="1">GetBusinessDate($F271,BusinessDayConv,IF(ISBLANK(HolidaySheet),HolidaySheet,INDIRECT("HolTbl"&amp;HolidaySheet&amp;"[Date]")))</f>
        <v>45187</v>
      </c>
      <c r="H271" s="56" t="str">
        <f ca="1">IF(OR(WEEKDAY($F271)=1,WEEKDAY($F271)=7),"Weekend",IFERROR(INDEX(INDIRECT("HolTbl"&amp;HolidaySheet&amp;"[Holiday]"),MATCH($F271,INDIRECT("HolTbl"&amp;HolidaySheet&amp;"[Date]"),0)),$G$10))</f>
        <v>Good Business Date</v>
      </c>
    </row>
    <row r="272" spans="6:8" x14ac:dyDescent="0.25">
      <c r="F272" s="55">
        <f t="shared" si="4"/>
        <v>45188</v>
      </c>
      <c r="G272" s="14" cm="1">
        <f t="array" aca="1" ref="G272" ca="1">GetBusinessDate($F272,BusinessDayConv,IF(ISBLANK(HolidaySheet),HolidaySheet,INDIRECT("HolTbl"&amp;HolidaySheet&amp;"[Date]")))</f>
        <v>45188</v>
      </c>
      <c r="H272" s="56" t="str">
        <f ca="1">IF(OR(WEEKDAY($F272)=1,WEEKDAY($F272)=7),"Weekend",IFERROR(INDEX(INDIRECT("HolTbl"&amp;HolidaySheet&amp;"[Holiday]"),MATCH($F272,INDIRECT("HolTbl"&amp;HolidaySheet&amp;"[Date]"),0)),$G$10))</f>
        <v>Good Business Date</v>
      </c>
    </row>
    <row r="273" spans="6:8" x14ac:dyDescent="0.25">
      <c r="F273" s="55">
        <f t="shared" si="4"/>
        <v>45189</v>
      </c>
      <c r="G273" s="14" cm="1">
        <f t="array" aca="1" ref="G273" ca="1">GetBusinessDate($F273,BusinessDayConv,IF(ISBLANK(HolidaySheet),HolidaySheet,INDIRECT("HolTbl"&amp;HolidaySheet&amp;"[Date]")))</f>
        <v>45189</v>
      </c>
      <c r="H273" s="56" t="str">
        <f ca="1">IF(OR(WEEKDAY($F273)=1,WEEKDAY($F273)=7),"Weekend",IFERROR(INDEX(INDIRECT("HolTbl"&amp;HolidaySheet&amp;"[Holiday]"),MATCH($F273,INDIRECT("HolTbl"&amp;HolidaySheet&amp;"[Date]"),0)),$G$10))</f>
        <v>Good Business Date</v>
      </c>
    </row>
    <row r="274" spans="6:8" x14ac:dyDescent="0.25">
      <c r="F274" s="55">
        <f t="shared" si="4"/>
        <v>45190</v>
      </c>
      <c r="G274" s="14" cm="1">
        <f t="array" aca="1" ref="G274" ca="1">GetBusinessDate($F274,BusinessDayConv,IF(ISBLANK(HolidaySheet),HolidaySheet,INDIRECT("HolTbl"&amp;HolidaySheet&amp;"[Date]")))</f>
        <v>45190</v>
      </c>
      <c r="H274" s="56" t="str">
        <f ca="1">IF(OR(WEEKDAY($F274)=1,WEEKDAY($F274)=7),"Weekend",IFERROR(INDEX(INDIRECT("HolTbl"&amp;HolidaySheet&amp;"[Holiday]"),MATCH($F274,INDIRECT("HolTbl"&amp;HolidaySheet&amp;"[Date]"),0)),$G$10))</f>
        <v>Good Business Date</v>
      </c>
    </row>
    <row r="275" spans="6:8" x14ac:dyDescent="0.25">
      <c r="F275" s="55">
        <f t="shared" si="4"/>
        <v>45191</v>
      </c>
      <c r="G275" s="14" cm="1">
        <f t="array" aca="1" ref="G275" ca="1">GetBusinessDate($F275,BusinessDayConv,IF(ISBLANK(HolidaySheet),HolidaySheet,INDIRECT("HolTbl"&amp;HolidaySheet&amp;"[Date]")))</f>
        <v>45191</v>
      </c>
      <c r="H275" s="56" t="str">
        <f ca="1">IF(OR(WEEKDAY($F275)=1,WEEKDAY($F275)=7),"Weekend",IFERROR(INDEX(INDIRECT("HolTbl"&amp;HolidaySheet&amp;"[Holiday]"),MATCH($F275,INDIRECT("HolTbl"&amp;HolidaySheet&amp;"[Date]"),0)),$G$10))</f>
        <v>Good Business Date</v>
      </c>
    </row>
    <row r="276" spans="6:8" x14ac:dyDescent="0.25">
      <c r="F276" s="55">
        <f t="shared" si="4"/>
        <v>45192</v>
      </c>
      <c r="G276" s="14" cm="1">
        <f t="array" aca="1" ref="G276" ca="1">GetBusinessDate($F276,BusinessDayConv,IF(ISBLANK(HolidaySheet),HolidaySheet,INDIRECT("HolTbl"&amp;HolidaySheet&amp;"[Date]")))</f>
        <v>45194</v>
      </c>
      <c r="H276" s="56" t="str">
        <f ca="1">IF(OR(WEEKDAY($F276)=1,WEEKDAY($F276)=7),"Weekend",IFERROR(INDEX(INDIRECT("HolTbl"&amp;HolidaySheet&amp;"[Holiday]"),MATCH($F276,INDIRECT("HolTbl"&amp;HolidaySheet&amp;"[Date]"),0)),$G$10))</f>
        <v>Weekend</v>
      </c>
    </row>
    <row r="277" spans="6:8" x14ac:dyDescent="0.25">
      <c r="F277" s="55">
        <f t="shared" si="4"/>
        <v>45193</v>
      </c>
      <c r="G277" s="14" cm="1">
        <f t="array" aca="1" ref="G277" ca="1">GetBusinessDate($F277,BusinessDayConv,IF(ISBLANK(HolidaySheet),HolidaySheet,INDIRECT("HolTbl"&amp;HolidaySheet&amp;"[Date]")))</f>
        <v>45194</v>
      </c>
      <c r="H277" s="56" t="str">
        <f ca="1">IF(OR(WEEKDAY($F277)=1,WEEKDAY($F277)=7),"Weekend",IFERROR(INDEX(INDIRECT("HolTbl"&amp;HolidaySheet&amp;"[Holiday]"),MATCH($F277,INDIRECT("HolTbl"&amp;HolidaySheet&amp;"[Date]"),0)),$G$10))</f>
        <v>Weekend</v>
      </c>
    </row>
    <row r="278" spans="6:8" x14ac:dyDescent="0.25">
      <c r="F278" s="55">
        <f t="shared" si="4"/>
        <v>45194</v>
      </c>
      <c r="G278" s="14" cm="1">
        <f t="array" aca="1" ref="G278" ca="1">GetBusinessDate($F278,BusinessDayConv,IF(ISBLANK(HolidaySheet),HolidaySheet,INDIRECT("HolTbl"&amp;HolidaySheet&amp;"[Date]")))</f>
        <v>45194</v>
      </c>
      <c r="H278" s="56" t="str">
        <f ca="1">IF(OR(WEEKDAY($F278)=1,WEEKDAY($F278)=7),"Weekend",IFERROR(INDEX(INDIRECT("HolTbl"&amp;HolidaySheet&amp;"[Holiday]"),MATCH($F278,INDIRECT("HolTbl"&amp;HolidaySheet&amp;"[Date]"),0)),$G$10))</f>
        <v>Good Business Date</v>
      </c>
    </row>
    <row r="279" spans="6:8" x14ac:dyDescent="0.25">
      <c r="F279" s="55">
        <f t="shared" si="4"/>
        <v>45195</v>
      </c>
      <c r="G279" s="14" cm="1">
        <f t="array" aca="1" ref="G279" ca="1">GetBusinessDate($F279,BusinessDayConv,IF(ISBLANK(HolidaySheet),HolidaySheet,INDIRECT("HolTbl"&amp;HolidaySheet&amp;"[Date]")))</f>
        <v>45195</v>
      </c>
      <c r="H279" s="56" t="str">
        <f ca="1">IF(OR(WEEKDAY($F279)=1,WEEKDAY($F279)=7),"Weekend",IFERROR(INDEX(INDIRECT("HolTbl"&amp;HolidaySheet&amp;"[Holiday]"),MATCH($F279,INDIRECT("HolTbl"&amp;HolidaySheet&amp;"[Date]"),0)),$G$10))</f>
        <v>Good Business Date</v>
      </c>
    </row>
    <row r="280" spans="6:8" x14ac:dyDescent="0.25">
      <c r="F280" s="55">
        <f t="shared" si="4"/>
        <v>45196</v>
      </c>
      <c r="G280" s="14" cm="1">
        <f t="array" aca="1" ref="G280" ca="1">GetBusinessDate($F280,BusinessDayConv,IF(ISBLANK(HolidaySheet),HolidaySheet,INDIRECT("HolTbl"&amp;HolidaySheet&amp;"[Date]")))</f>
        <v>45196</v>
      </c>
      <c r="H280" s="56" t="str">
        <f ca="1">IF(OR(WEEKDAY($F280)=1,WEEKDAY($F280)=7),"Weekend",IFERROR(INDEX(INDIRECT("HolTbl"&amp;HolidaySheet&amp;"[Holiday]"),MATCH($F280,INDIRECT("HolTbl"&amp;HolidaySheet&amp;"[Date]"),0)),$G$10))</f>
        <v>Good Business Date</v>
      </c>
    </row>
    <row r="281" spans="6:8" x14ac:dyDescent="0.25">
      <c r="F281" s="55">
        <f t="shared" si="4"/>
        <v>45197</v>
      </c>
      <c r="G281" s="14" cm="1">
        <f t="array" aca="1" ref="G281" ca="1">GetBusinessDate($F281,BusinessDayConv,IF(ISBLANK(HolidaySheet),HolidaySheet,INDIRECT("HolTbl"&amp;HolidaySheet&amp;"[Date]")))</f>
        <v>45197</v>
      </c>
      <c r="H281" s="56" t="str">
        <f ca="1">IF(OR(WEEKDAY($F281)=1,WEEKDAY($F281)=7),"Weekend",IFERROR(INDEX(INDIRECT("HolTbl"&amp;HolidaySheet&amp;"[Holiday]"),MATCH($F281,INDIRECT("HolTbl"&amp;HolidaySheet&amp;"[Date]"),0)),$G$10))</f>
        <v>Good Business Date</v>
      </c>
    </row>
    <row r="282" spans="6:8" x14ac:dyDescent="0.25">
      <c r="F282" s="55">
        <f t="shared" si="4"/>
        <v>45198</v>
      </c>
      <c r="G282" s="14" cm="1">
        <f t="array" aca="1" ref="G282" ca="1">GetBusinessDate($F282,BusinessDayConv,IF(ISBLANK(HolidaySheet),HolidaySheet,INDIRECT("HolTbl"&amp;HolidaySheet&amp;"[Date]")))</f>
        <v>45198</v>
      </c>
      <c r="H282" s="56" t="str">
        <f ca="1">IF(OR(WEEKDAY($F282)=1,WEEKDAY($F282)=7),"Weekend",IFERROR(INDEX(INDIRECT("HolTbl"&amp;HolidaySheet&amp;"[Holiday]"),MATCH($F282,INDIRECT("HolTbl"&amp;HolidaySheet&amp;"[Date]"),0)),$G$10))</f>
        <v>Good Business Date</v>
      </c>
    </row>
    <row r="283" spans="6:8" x14ac:dyDescent="0.25">
      <c r="F283" s="55">
        <f t="shared" si="4"/>
        <v>45199</v>
      </c>
      <c r="G283" s="14" cm="1">
        <f t="array" aca="1" ref="G283" ca="1">GetBusinessDate($F283,BusinessDayConv,IF(ISBLANK(HolidaySheet),HolidaySheet,INDIRECT("HolTbl"&amp;HolidaySheet&amp;"[Date]")))</f>
        <v>45198</v>
      </c>
      <c r="H283" s="56" t="str">
        <f ca="1">IF(OR(WEEKDAY($F283)=1,WEEKDAY($F283)=7),"Weekend",IFERROR(INDEX(INDIRECT("HolTbl"&amp;HolidaySheet&amp;"[Holiday]"),MATCH($F283,INDIRECT("HolTbl"&amp;HolidaySheet&amp;"[Date]"),0)),$G$10))</f>
        <v>Weekend</v>
      </c>
    </row>
    <row r="284" spans="6:8" x14ac:dyDescent="0.25">
      <c r="F284" s="55">
        <f t="shared" si="4"/>
        <v>45200</v>
      </c>
      <c r="G284" s="14" cm="1">
        <f t="array" aca="1" ref="G284" ca="1">GetBusinessDate($F284,BusinessDayConv,IF(ISBLANK(HolidaySheet),HolidaySheet,INDIRECT("HolTbl"&amp;HolidaySheet&amp;"[Date]")))</f>
        <v>45201</v>
      </c>
      <c r="H284" s="56" t="str">
        <f ca="1">IF(OR(WEEKDAY($F284)=1,WEEKDAY($F284)=7),"Weekend",IFERROR(INDEX(INDIRECT("HolTbl"&amp;HolidaySheet&amp;"[Holiday]"),MATCH($F284,INDIRECT("HolTbl"&amp;HolidaySheet&amp;"[Date]"),0)),$G$10))</f>
        <v>Weekend</v>
      </c>
    </row>
    <row r="285" spans="6:8" x14ac:dyDescent="0.25">
      <c r="F285" s="55">
        <f t="shared" si="4"/>
        <v>45201</v>
      </c>
      <c r="G285" s="14" cm="1">
        <f t="array" aca="1" ref="G285" ca="1">GetBusinessDate($F285,BusinessDayConv,IF(ISBLANK(HolidaySheet),HolidaySheet,INDIRECT("HolTbl"&amp;HolidaySheet&amp;"[Date]")))</f>
        <v>45201</v>
      </c>
      <c r="H285" s="56" t="str">
        <f ca="1">IF(OR(WEEKDAY($F285)=1,WEEKDAY($F285)=7),"Weekend",IFERROR(INDEX(INDIRECT("HolTbl"&amp;HolidaySheet&amp;"[Holiday]"),MATCH($F285,INDIRECT("HolTbl"&amp;HolidaySheet&amp;"[Date]"),0)),$G$10))</f>
        <v>Good Business Date</v>
      </c>
    </row>
    <row r="286" spans="6:8" x14ac:dyDescent="0.25">
      <c r="F286" s="55">
        <f t="shared" si="4"/>
        <v>45202</v>
      </c>
      <c r="G286" s="14" cm="1">
        <f t="array" aca="1" ref="G286" ca="1">GetBusinessDate($F286,BusinessDayConv,IF(ISBLANK(HolidaySheet),HolidaySheet,INDIRECT("HolTbl"&amp;HolidaySheet&amp;"[Date]")))</f>
        <v>45202</v>
      </c>
      <c r="H286" s="56" t="str">
        <f ca="1">IF(OR(WEEKDAY($F286)=1,WEEKDAY($F286)=7),"Weekend",IFERROR(INDEX(INDIRECT("HolTbl"&amp;HolidaySheet&amp;"[Holiday]"),MATCH($F286,INDIRECT("HolTbl"&amp;HolidaySheet&amp;"[Date]"),0)),$G$10))</f>
        <v>Good Business Date</v>
      </c>
    </row>
    <row r="287" spans="6:8" x14ac:dyDescent="0.25">
      <c r="F287" s="55">
        <f t="shared" si="4"/>
        <v>45203</v>
      </c>
      <c r="G287" s="14" cm="1">
        <f t="array" aca="1" ref="G287" ca="1">GetBusinessDate($F287,BusinessDayConv,IF(ISBLANK(HolidaySheet),HolidaySheet,INDIRECT("HolTbl"&amp;HolidaySheet&amp;"[Date]")))</f>
        <v>45203</v>
      </c>
      <c r="H287" s="56" t="str">
        <f ca="1">IF(OR(WEEKDAY($F287)=1,WEEKDAY($F287)=7),"Weekend",IFERROR(INDEX(INDIRECT("HolTbl"&amp;HolidaySheet&amp;"[Holiday]"),MATCH($F287,INDIRECT("HolTbl"&amp;HolidaySheet&amp;"[Date]"),0)),$G$10))</f>
        <v>Good Business Date</v>
      </c>
    </row>
    <row r="288" spans="6:8" x14ac:dyDescent="0.25">
      <c r="F288" s="55">
        <f t="shared" si="4"/>
        <v>45204</v>
      </c>
      <c r="G288" s="14" cm="1">
        <f t="array" aca="1" ref="G288" ca="1">GetBusinessDate($F288,BusinessDayConv,IF(ISBLANK(HolidaySheet),HolidaySheet,INDIRECT("HolTbl"&amp;HolidaySheet&amp;"[Date]")))</f>
        <v>45204</v>
      </c>
      <c r="H288" s="56" t="str">
        <f ca="1">IF(OR(WEEKDAY($F288)=1,WEEKDAY($F288)=7),"Weekend",IFERROR(INDEX(INDIRECT("HolTbl"&amp;HolidaySheet&amp;"[Holiday]"),MATCH($F288,INDIRECT("HolTbl"&amp;HolidaySheet&amp;"[Date]"),0)),$G$10))</f>
        <v>Good Business Date</v>
      </c>
    </row>
    <row r="289" spans="6:8" x14ac:dyDescent="0.25">
      <c r="F289" s="55">
        <f t="shared" si="4"/>
        <v>45205</v>
      </c>
      <c r="G289" s="14" cm="1">
        <f t="array" aca="1" ref="G289" ca="1">GetBusinessDate($F289,BusinessDayConv,IF(ISBLANK(HolidaySheet),HolidaySheet,INDIRECT("HolTbl"&amp;HolidaySheet&amp;"[Date]")))</f>
        <v>45205</v>
      </c>
      <c r="H289" s="56" t="str">
        <f ca="1">IF(OR(WEEKDAY($F289)=1,WEEKDAY($F289)=7),"Weekend",IFERROR(INDEX(INDIRECT("HolTbl"&amp;HolidaySheet&amp;"[Holiday]"),MATCH($F289,INDIRECT("HolTbl"&amp;HolidaySheet&amp;"[Date]"),0)),$G$10))</f>
        <v>Good Business Date</v>
      </c>
    </row>
    <row r="290" spans="6:8" x14ac:dyDescent="0.25">
      <c r="F290" s="55">
        <f t="shared" si="4"/>
        <v>45206</v>
      </c>
      <c r="G290" s="14" cm="1">
        <f t="array" aca="1" ref="G290" ca="1">GetBusinessDate($F290,BusinessDayConv,IF(ISBLANK(HolidaySheet),HolidaySheet,INDIRECT("HolTbl"&amp;HolidaySheet&amp;"[Date]")))</f>
        <v>45209</v>
      </c>
      <c r="H290" s="56" t="str">
        <f ca="1">IF(OR(WEEKDAY($F290)=1,WEEKDAY($F290)=7),"Weekend",IFERROR(INDEX(INDIRECT("HolTbl"&amp;HolidaySheet&amp;"[Holiday]"),MATCH($F290,INDIRECT("HolTbl"&amp;HolidaySheet&amp;"[Date]"),0)),$G$10))</f>
        <v>Weekend</v>
      </c>
    </row>
    <row r="291" spans="6:8" x14ac:dyDescent="0.25">
      <c r="F291" s="55">
        <f t="shared" si="4"/>
        <v>45207</v>
      </c>
      <c r="G291" s="14" cm="1">
        <f t="array" aca="1" ref="G291" ca="1">GetBusinessDate($F291,BusinessDayConv,IF(ISBLANK(HolidaySheet),HolidaySheet,INDIRECT("HolTbl"&amp;HolidaySheet&amp;"[Date]")))</f>
        <v>45209</v>
      </c>
      <c r="H291" s="56" t="str">
        <f ca="1">IF(OR(WEEKDAY($F291)=1,WEEKDAY($F291)=7),"Weekend",IFERROR(INDEX(INDIRECT("HolTbl"&amp;HolidaySheet&amp;"[Holiday]"),MATCH($F291,INDIRECT("HolTbl"&amp;HolidaySheet&amp;"[Date]"),0)),$G$10))</f>
        <v>Weekend</v>
      </c>
    </row>
    <row r="292" spans="6:8" x14ac:dyDescent="0.25">
      <c r="F292" s="55">
        <f t="shared" si="4"/>
        <v>45208</v>
      </c>
      <c r="G292" s="14" cm="1">
        <f t="array" aca="1" ref="G292" ca="1">GetBusinessDate($F292,BusinessDayConv,IF(ISBLANK(HolidaySheet),HolidaySheet,INDIRECT("HolTbl"&amp;HolidaySheet&amp;"[Date]")))</f>
        <v>45209</v>
      </c>
      <c r="H292" s="56" t="str">
        <f ca="1">IF(OR(WEEKDAY($F292)=1,WEEKDAY($F292)=7),"Weekend",IFERROR(INDEX(INDIRECT("HolTbl"&amp;HolidaySheet&amp;"[Holiday]"),MATCH($F292,INDIRECT("HolTbl"&amp;HolidaySheet&amp;"[Date]"),0)),$G$10))</f>
        <v>Columbus Day</v>
      </c>
    </row>
    <row r="293" spans="6:8" x14ac:dyDescent="0.25">
      <c r="F293" s="55">
        <f t="shared" si="4"/>
        <v>45209</v>
      </c>
      <c r="G293" s="14" cm="1">
        <f t="array" aca="1" ref="G293" ca="1">GetBusinessDate($F293,BusinessDayConv,IF(ISBLANK(HolidaySheet),HolidaySheet,INDIRECT("HolTbl"&amp;HolidaySheet&amp;"[Date]")))</f>
        <v>45209</v>
      </c>
      <c r="H293" s="56" t="str">
        <f ca="1">IF(OR(WEEKDAY($F293)=1,WEEKDAY($F293)=7),"Weekend",IFERROR(INDEX(INDIRECT("HolTbl"&amp;HolidaySheet&amp;"[Holiday]"),MATCH($F293,INDIRECT("HolTbl"&amp;HolidaySheet&amp;"[Date]"),0)),$G$10))</f>
        <v>Good Business Date</v>
      </c>
    </row>
    <row r="294" spans="6:8" x14ac:dyDescent="0.25">
      <c r="F294" s="55">
        <f t="shared" si="4"/>
        <v>45210</v>
      </c>
      <c r="G294" s="14" cm="1">
        <f t="array" aca="1" ref="G294" ca="1">GetBusinessDate($F294,BusinessDayConv,IF(ISBLANK(HolidaySheet),HolidaySheet,INDIRECT("HolTbl"&amp;HolidaySheet&amp;"[Date]")))</f>
        <v>45210</v>
      </c>
      <c r="H294" s="56" t="str">
        <f ca="1">IF(OR(WEEKDAY($F294)=1,WEEKDAY($F294)=7),"Weekend",IFERROR(INDEX(INDIRECT("HolTbl"&amp;HolidaySheet&amp;"[Holiday]"),MATCH($F294,INDIRECT("HolTbl"&amp;HolidaySheet&amp;"[Date]"),0)),$G$10))</f>
        <v>Good Business Date</v>
      </c>
    </row>
    <row r="295" spans="6:8" x14ac:dyDescent="0.25">
      <c r="F295" s="55">
        <f t="shared" si="4"/>
        <v>45211</v>
      </c>
      <c r="G295" s="14" cm="1">
        <f t="array" aca="1" ref="G295" ca="1">GetBusinessDate($F295,BusinessDayConv,IF(ISBLANK(HolidaySheet),HolidaySheet,INDIRECT("HolTbl"&amp;HolidaySheet&amp;"[Date]")))</f>
        <v>45211</v>
      </c>
      <c r="H295" s="56" t="str">
        <f ca="1">IF(OR(WEEKDAY($F295)=1,WEEKDAY($F295)=7),"Weekend",IFERROR(INDEX(INDIRECT("HolTbl"&amp;HolidaySheet&amp;"[Holiday]"),MATCH($F295,INDIRECT("HolTbl"&amp;HolidaySheet&amp;"[Date]"),0)),$G$10))</f>
        <v>Good Business Date</v>
      </c>
    </row>
    <row r="296" spans="6:8" x14ac:dyDescent="0.25">
      <c r="F296" s="55">
        <f t="shared" si="4"/>
        <v>45212</v>
      </c>
      <c r="G296" s="14" cm="1">
        <f t="array" aca="1" ref="G296" ca="1">GetBusinessDate($F296,BusinessDayConv,IF(ISBLANK(HolidaySheet),HolidaySheet,INDIRECT("HolTbl"&amp;HolidaySheet&amp;"[Date]")))</f>
        <v>45212</v>
      </c>
      <c r="H296" s="56" t="str">
        <f ca="1">IF(OR(WEEKDAY($F296)=1,WEEKDAY($F296)=7),"Weekend",IFERROR(INDEX(INDIRECT("HolTbl"&amp;HolidaySheet&amp;"[Holiday]"),MATCH($F296,INDIRECT("HolTbl"&amp;HolidaySheet&amp;"[Date]"),0)),$G$10))</f>
        <v>Good Business Date</v>
      </c>
    </row>
    <row r="297" spans="6:8" x14ac:dyDescent="0.25">
      <c r="F297" s="55">
        <f t="shared" si="4"/>
        <v>45213</v>
      </c>
      <c r="G297" s="14" cm="1">
        <f t="array" aca="1" ref="G297" ca="1">GetBusinessDate($F297,BusinessDayConv,IF(ISBLANK(HolidaySheet),HolidaySheet,INDIRECT("HolTbl"&amp;HolidaySheet&amp;"[Date]")))</f>
        <v>45215</v>
      </c>
      <c r="H297" s="56" t="str">
        <f ca="1">IF(OR(WEEKDAY($F297)=1,WEEKDAY($F297)=7),"Weekend",IFERROR(INDEX(INDIRECT("HolTbl"&amp;HolidaySheet&amp;"[Holiday]"),MATCH($F297,INDIRECT("HolTbl"&amp;HolidaySheet&amp;"[Date]"),0)),$G$10))</f>
        <v>Weekend</v>
      </c>
    </row>
    <row r="298" spans="6:8" x14ac:dyDescent="0.25">
      <c r="F298" s="55">
        <f t="shared" si="4"/>
        <v>45214</v>
      </c>
      <c r="G298" s="14" cm="1">
        <f t="array" aca="1" ref="G298" ca="1">GetBusinessDate($F298,BusinessDayConv,IF(ISBLANK(HolidaySheet),HolidaySheet,INDIRECT("HolTbl"&amp;HolidaySheet&amp;"[Date]")))</f>
        <v>45215</v>
      </c>
      <c r="H298" s="56" t="str">
        <f ca="1">IF(OR(WEEKDAY($F298)=1,WEEKDAY($F298)=7),"Weekend",IFERROR(INDEX(INDIRECT("HolTbl"&amp;HolidaySheet&amp;"[Holiday]"),MATCH($F298,INDIRECT("HolTbl"&amp;HolidaySheet&amp;"[Date]"),0)),$G$10))</f>
        <v>Weekend</v>
      </c>
    </row>
    <row r="299" spans="6:8" x14ac:dyDescent="0.25">
      <c r="F299" s="55">
        <f t="shared" si="4"/>
        <v>45215</v>
      </c>
      <c r="G299" s="14" cm="1">
        <f t="array" aca="1" ref="G299" ca="1">GetBusinessDate($F299,BusinessDayConv,IF(ISBLANK(HolidaySheet),HolidaySheet,INDIRECT("HolTbl"&amp;HolidaySheet&amp;"[Date]")))</f>
        <v>45215</v>
      </c>
      <c r="H299" s="56" t="str">
        <f ca="1">IF(OR(WEEKDAY($F299)=1,WEEKDAY($F299)=7),"Weekend",IFERROR(INDEX(INDIRECT("HolTbl"&amp;HolidaySheet&amp;"[Holiday]"),MATCH($F299,INDIRECT("HolTbl"&amp;HolidaySheet&amp;"[Date]"),0)),$G$10))</f>
        <v>Good Business Date</v>
      </c>
    </row>
    <row r="300" spans="6:8" x14ac:dyDescent="0.25">
      <c r="F300" s="55">
        <f t="shared" si="4"/>
        <v>45216</v>
      </c>
      <c r="G300" s="14" cm="1">
        <f t="array" aca="1" ref="G300" ca="1">GetBusinessDate($F300,BusinessDayConv,IF(ISBLANK(HolidaySheet),HolidaySheet,INDIRECT("HolTbl"&amp;HolidaySheet&amp;"[Date]")))</f>
        <v>45216</v>
      </c>
      <c r="H300" s="56" t="str">
        <f ca="1">IF(OR(WEEKDAY($F300)=1,WEEKDAY($F300)=7),"Weekend",IFERROR(INDEX(INDIRECT("HolTbl"&amp;HolidaySheet&amp;"[Holiday]"),MATCH($F300,INDIRECT("HolTbl"&amp;HolidaySheet&amp;"[Date]"),0)),$G$10))</f>
        <v>Good Business Date</v>
      </c>
    </row>
    <row r="301" spans="6:8" x14ac:dyDescent="0.25">
      <c r="F301" s="55">
        <f t="shared" si="4"/>
        <v>45217</v>
      </c>
      <c r="G301" s="14" cm="1">
        <f t="array" aca="1" ref="G301" ca="1">GetBusinessDate($F301,BusinessDayConv,IF(ISBLANK(HolidaySheet),HolidaySheet,INDIRECT("HolTbl"&amp;HolidaySheet&amp;"[Date]")))</f>
        <v>45217</v>
      </c>
      <c r="H301" s="56" t="str">
        <f ca="1">IF(OR(WEEKDAY($F301)=1,WEEKDAY($F301)=7),"Weekend",IFERROR(INDEX(INDIRECT("HolTbl"&amp;HolidaySheet&amp;"[Holiday]"),MATCH($F301,INDIRECT("HolTbl"&amp;HolidaySheet&amp;"[Date]"),0)),$G$10))</f>
        <v>Good Business Date</v>
      </c>
    </row>
    <row r="302" spans="6:8" x14ac:dyDescent="0.25">
      <c r="F302" s="55">
        <f t="shared" si="4"/>
        <v>45218</v>
      </c>
      <c r="G302" s="14" cm="1">
        <f t="array" aca="1" ref="G302" ca="1">GetBusinessDate($F302,BusinessDayConv,IF(ISBLANK(HolidaySheet),HolidaySheet,INDIRECT("HolTbl"&amp;HolidaySheet&amp;"[Date]")))</f>
        <v>45218</v>
      </c>
      <c r="H302" s="56" t="str">
        <f ca="1">IF(OR(WEEKDAY($F302)=1,WEEKDAY($F302)=7),"Weekend",IFERROR(INDEX(INDIRECT("HolTbl"&amp;HolidaySheet&amp;"[Holiday]"),MATCH($F302,INDIRECT("HolTbl"&amp;HolidaySheet&amp;"[Date]"),0)),$G$10))</f>
        <v>Good Business Date</v>
      </c>
    </row>
    <row r="303" spans="6:8" x14ac:dyDescent="0.25">
      <c r="F303" s="55">
        <f t="shared" si="4"/>
        <v>45219</v>
      </c>
      <c r="G303" s="14" cm="1">
        <f t="array" aca="1" ref="G303" ca="1">GetBusinessDate($F303,BusinessDayConv,IF(ISBLANK(HolidaySheet),HolidaySheet,INDIRECT("HolTbl"&amp;HolidaySheet&amp;"[Date]")))</f>
        <v>45219</v>
      </c>
      <c r="H303" s="56" t="str">
        <f ca="1">IF(OR(WEEKDAY($F303)=1,WEEKDAY($F303)=7),"Weekend",IFERROR(INDEX(INDIRECT("HolTbl"&amp;HolidaySheet&amp;"[Holiday]"),MATCH($F303,INDIRECT("HolTbl"&amp;HolidaySheet&amp;"[Date]"),0)),$G$10))</f>
        <v>Good Business Date</v>
      </c>
    </row>
    <row r="304" spans="6:8" x14ac:dyDescent="0.25">
      <c r="F304" s="55">
        <f t="shared" si="4"/>
        <v>45220</v>
      </c>
      <c r="G304" s="14" cm="1">
        <f t="array" aca="1" ref="G304" ca="1">GetBusinessDate($F304,BusinessDayConv,IF(ISBLANK(HolidaySheet),HolidaySheet,INDIRECT("HolTbl"&amp;HolidaySheet&amp;"[Date]")))</f>
        <v>45222</v>
      </c>
      <c r="H304" s="56" t="str">
        <f ca="1">IF(OR(WEEKDAY($F304)=1,WEEKDAY($F304)=7),"Weekend",IFERROR(INDEX(INDIRECT("HolTbl"&amp;HolidaySheet&amp;"[Holiday]"),MATCH($F304,INDIRECT("HolTbl"&amp;HolidaySheet&amp;"[Date]"),0)),$G$10))</f>
        <v>Weekend</v>
      </c>
    </row>
    <row r="305" spans="6:8" x14ac:dyDescent="0.25">
      <c r="F305" s="55">
        <f t="shared" si="4"/>
        <v>45221</v>
      </c>
      <c r="G305" s="14" cm="1">
        <f t="array" aca="1" ref="G305" ca="1">GetBusinessDate($F305,BusinessDayConv,IF(ISBLANK(HolidaySheet),HolidaySheet,INDIRECT("HolTbl"&amp;HolidaySheet&amp;"[Date]")))</f>
        <v>45222</v>
      </c>
      <c r="H305" s="56" t="str">
        <f ca="1">IF(OR(WEEKDAY($F305)=1,WEEKDAY($F305)=7),"Weekend",IFERROR(INDEX(INDIRECT("HolTbl"&amp;HolidaySheet&amp;"[Holiday]"),MATCH($F305,INDIRECT("HolTbl"&amp;HolidaySheet&amp;"[Date]"),0)),$G$10))</f>
        <v>Weekend</v>
      </c>
    </row>
    <row r="306" spans="6:8" x14ac:dyDescent="0.25">
      <c r="F306" s="55">
        <f t="shared" si="4"/>
        <v>45222</v>
      </c>
      <c r="G306" s="14" cm="1">
        <f t="array" aca="1" ref="G306" ca="1">GetBusinessDate($F306,BusinessDayConv,IF(ISBLANK(HolidaySheet),HolidaySheet,INDIRECT("HolTbl"&amp;HolidaySheet&amp;"[Date]")))</f>
        <v>45222</v>
      </c>
      <c r="H306" s="56" t="str">
        <f ca="1">IF(OR(WEEKDAY($F306)=1,WEEKDAY($F306)=7),"Weekend",IFERROR(INDEX(INDIRECT("HolTbl"&amp;HolidaySheet&amp;"[Holiday]"),MATCH($F306,INDIRECT("HolTbl"&amp;HolidaySheet&amp;"[Date]"),0)),$G$10))</f>
        <v>Good Business Date</v>
      </c>
    </row>
    <row r="307" spans="6:8" x14ac:dyDescent="0.25">
      <c r="F307" s="55">
        <f t="shared" si="4"/>
        <v>45223</v>
      </c>
      <c r="G307" s="14" cm="1">
        <f t="array" aca="1" ref="G307" ca="1">GetBusinessDate($F307,BusinessDayConv,IF(ISBLANK(HolidaySheet),HolidaySheet,INDIRECT("HolTbl"&amp;HolidaySheet&amp;"[Date]")))</f>
        <v>45223</v>
      </c>
      <c r="H307" s="56" t="str">
        <f ca="1">IF(OR(WEEKDAY($F307)=1,WEEKDAY($F307)=7),"Weekend",IFERROR(INDEX(INDIRECT("HolTbl"&amp;HolidaySheet&amp;"[Holiday]"),MATCH($F307,INDIRECT("HolTbl"&amp;HolidaySheet&amp;"[Date]"),0)),$G$10))</f>
        <v>Good Business Date</v>
      </c>
    </row>
    <row r="308" spans="6:8" x14ac:dyDescent="0.25">
      <c r="F308" s="55">
        <f t="shared" si="4"/>
        <v>45224</v>
      </c>
      <c r="G308" s="14" cm="1">
        <f t="array" aca="1" ref="G308" ca="1">GetBusinessDate($F308,BusinessDayConv,IF(ISBLANK(HolidaySheet),HolidaySheet,INDIRECT("HolTbl"&amp;HolidaySheet&amp;"[Date]")))</f>
        <v>45224</v>
      </c>
      <c r="H308" s="56" t="str">
        <f ca="1">IF(OR(WEEKDAY($F308)=1,WEEKDAY($F308)=7),"Weekend",IFERROR(INDEX(INDIRECT("HolTbl"&amp;HolidaySheet&amp;"[Holiday]"),MATCH($F308,INDIRECT("HolTbl"&amp;HolidaySheet&amp;"[Date]"),0)),$G$10))</f>
        <v>Good Business Date</v>
      </c>
    </row>
    <row r="309" spans="6:8" x14ac:dyDescent="0.25">
      <c r="F309" s="55">
        <f t="shared" si="4"/>
        <v>45225</v>
      </c>
      <c r="G309" s="14" cm="1">
        <f t="array" aca="1" ref="G309" ca="1">GetBusinessDate($F309,BusinessDayConv,IF(ISBLANK(HolidaySheet),HolidaySheet,INDIRECT("HolTbl"&amp;HolidaySheet&amp;"[Date]")))</f>
        <v>45225</v>
      </c>
      <c r="H309" s="56" t="str">
        <f ca="1">IF(OR(WEEKDAY($F309)=1,WEEKDAY($F309)=7),"Weekend",IFERROR(INDEX(INDIRECT("HolTbl"&amp;HolidaySheet&amp;"[Holiday]"),MATCH($F309,INDIRECT("HolTbl"&amp;HolidaySheet&amp;"[Date]"),0)),$G$10))</f>
        <v>Good Business Date</v>
      </c>
    </row>
    <row r="310" spans="6:8" x14ac:dyDescent="0.25">
      <c r="F310" s="55">
        <f t="shared" si="4"/>
        <v>45226</v>
      </c>
      <c r="G310" s="14" cm="1">
        <f t="array" aca="1" ref="G310" ca="1">GetBusinessDate($F310,BusinessDayConv,IF(ISBLANK(HolidaySheet),HolidaySheet,INDIRECT("HolTbl"&amp;HolidaySheet&amp;"[Date]")))</f>
        <v>45226</v>
      </c>
      <c r="H310" s="56" t="str">
        <f ca="1">IF(OR(WEEKDAY($F310)=1,WEEKDAY($F310)=7),"Weekend",IFERROR(INDEX(INDIRECT("HolTbl"&amp;HolidaySheet&amp;"[Holiday]"),MATCH($F310,INDIRECT("HolTbl"&amp;HolidaySheet&amp;"[Date]"),0)),$G$10))</f>
        <v>Good Business Date</v>
      </c>
    </row>
    <row r="311" spans="6:8" x14ac:dyDescent="0.25">
      <c r="F311" s="55">
        <f t="shared" si="4"/>
        <v>45227</v>
      </c>
      <c r="G311" s="14" cm="1">
        <f t="array" aca="1" ref="G311" ca="1">GetBusinessDate($F311,BusinessDayConv,IF(ISBLANK(HolidaySheet),HolidaySheet,INDIRECT("HolTbl"&amp;HolidaySheet&amp;"[Date]")))</f>
        <v>45229</v>
      </c>
      <c r="H311" s="56" t="str">
        <f ca="1">IF(OR(WEEKDAY($F311)=1,WEEKDAY($F311)=7),"Weekend",IFERROR(INDEX(INDIRECT("HolTbl"&amp;HolidaySheet&amp;"[Holiday]"),MATCH($F311,INDIRECT("HolTbl"&amp;HolidaySheet&amp;"[Date]"),0)),$G$10))</f>
        <v>Weekend</v>
      </c>
    </row>
    <row r="312" spans="6:8" x14ac:dyDescent="0.25">
      <c r="F312" s="55">
        <f t="shared" si="4"/>
        <v>45228</v>
      </c>
      <c r="G312" s="14" cm="1">
        <f t="array" aca="1" ref="G312" ca="1">GetBusinessDate($F312,BusinessDayConv,IF(ISBLANK(HolidaySheet),HolidaySheet,INDIRECT("HolTbl"&amp;HolidaySheet&amp;"[Date]")))</f>
        <v>45229</v>
      </c>
      <c r="H312" s="56" t="str">
        <f ca="1">IF(OR(WEEKDAY($F312)=1,WEEKDAY($F312)=7),"Weekend",IFERROR(INDEX(INDIRECT("HolTbl"&amp;HolidaySheet&amp;"[Holiday]"),MATCH($F312,INDIRECT("HolTbl"&amp;HolidaySheet&amp;"[Date]"),0)),$G$10))</f>
        <v>Weekend</v>
      </c>
    </row>
    <row r="313" spans="6:8" x14ac:dyDescent="0.25">
      <c r="F313" s="55">
        <f t="shared" si="4"/>
        <v>45229</v>
      </c>
      <c r="G313" s="14" cm="1">
        <f t="array" aca="1" ref="G313" ca="1">GetBusinessDate($F313,BusinessDayConv,IF(ISBLANK(HolidaySheet),HolidaySheet,INDIRECT("HolTbl"&amp;HolidaySheet&amp;"[Date]")))</f>
        <v>45229</v>
      </c>
      <c r="H313" s="56" t="str">
        <f ca="1">IF(OR(WEEKDAY($F313)=1,WEEKDAY($F313)=7),"Weekend",IFERROR(INDEX(INDIRECT("HolTbl"&amp;HolidaySheet&amp;"[Holiday]"),MATCH($F313,INDIRECT("HolTbl"&amp;HolidaySheet&amp;"[Date]"),0)),$G$10))</f>
        <v>Good Business Date</v>
      </c>
    </row>
    <row r="314" spans="6:8" x14ac:dyDescent="0.25">
      <c r="F314" s="55">
        <f t="shared" si="4"/>
        <v>45230</v>
      </c>
      <c r="G314" s="14" cm="1">
        <f t="array" aca="1" ref="G314" ca="1">GetBusinessDate($F314,BusinessDayConv,IF(ISBLANK(HolidaySheet),HolidaySheet,INDIRECT("HolTbl"&amp;HolidaySheet&amp;"[Date]")))</f>
        <v>45230</v>
      </c>
      <c r="H314" s="56" t="str">
        <f ca="1">IF(OR(WEEKDAY($F314)=1,WEEKDAY($F314)=7),"Weekend",IFERROR(INDEX(INDIRECT("HolTbl"&amp;HolidaySheet&amp;"[Holiday]"),MATCH($F314,INDIRECT("HolTbl"&amp;HolidaySheet&amp;"[Date]"),0)),$G$10))</f>
        <v>Good Business Date</v>
      </c>
    </row>
    <row r="315" spans="6:8" x14ac:dyDescent="0.25">
      <c r="F315" s="55">
        <f t="shared" si="4"/>
        <v>45231</v>
      </c>
      <c r="G315" s="14" cm="1">
        <f t="array" aca="1" ref="G315" ca="1">GetBusinessDate($F315,BusinessDayConv,IF(ISBLANK(HolidaySheet),HolidaySheet,INDIRECT("HolTbl"&amp;HolidaySheet&amp;"[Date]")))</f>
        <v>45231</v>
      </c>
      <c r="H315" s="56" t="str">
        <f ca="1">IF(OR(WEEKDAY($F315)=1,WEEKDAY($F315)=7),"Weekend",IFERROR(INDEX(INDIRECT("HolTbl"&amp;HolidaySheet&amp;"[Holiday]"),MATCH($F315,INDIRECT("HolTbl"&amp;HolidaySheet&amp;"[Date]"),0)),$G$10))</f>
        <v>Good Business Date</v>
      </c>
    </row>
    <row r="316" spans="6:8" x14ac:dyDescent="0.25">
      <c r="F316" s="55">
        <f t="shared" si="4"/>
        <v>45232</v>
      </c>
      <c r="G316" s="14" cm="1">
        <f t="array" aca="1" ref="G316" ca="1">GetBusinessDate($F316,BusinessDayConv,IF(ISBLANK(HolidaySheet),HolidaySheet,INDIRECT("HolTbl"&amp;HolidaySheet&amp;"[Date]")))</f>
        <v>45232</v>
      </c>
      <c r="H316" s="56" t="str">
        <f ca="1">IF(OR(WEEKDAY($F316)=1,WEEKDAY($F316)=7),"Weekend",IFERROR(INDEX(INDIRECT("HolTbl"&amp;HolidaySheet&amp;"[Holiday]"),MATCH($F316,INDIRECT("HolTbl"&amp;HolidaySheet&amp;"[Date]"),0)),$G$10))</f>
        <v>Good Business Date</v>
      </c>
    </row>
    <row r="317" spans="6:8" x14ac:dyDescent="0.25">
      <c r="F317" s="55">
        <f t="shared" si="4"/>
        <v>45233</v>
      </c>
      <c r="G317" s="14" cm="1">
        <f t="array" aca="1" ref="G317" ca="1">GetBusinessDate($F317,BusinessDayConv,IF(ISBLANK(HolidaySheet),HolidaySheet,INDIRECT("HolTbl"&amp;HolidaySheet&amp;"[Date]")))</f>
        <v>45233</v>
      </c>
      <c r="H317" s="56" t="str">
        <f ca="1">IF(OR(WEEKDAY($F317)=1,WEEKDAY($F317)=7),"Weekend",IFERROR(INDEX(INDIRECT("HolTbl"&amp;HolidaySheet&amp;"[Holiday]"),MATCH($F317,INDIRECT("HolTbl"&amp;HolidaySheet&amp;"[Date]"),0)),$G$10))</f>
        <v>Good Business Date</v>
      </c>
    </row>
    <row r="318" spans="6:8" x14ac:dyDescent="0.25">
      <c r="F318" s="55">
        <f t="shared" si="4"/>
        <v>45234</v>
      </c>
      <c r="G318" s="14" cm="1">
        <f t="array" aca="1" ref="G318" ca="1">GetBusinessDate($F318,BusinessDayConv,IF(ISBLANK(HolidaySheet),HolidaySheet,INDIRECT("HolTbl"&amp;HolidaySheet&amp;"[Date]")))</f>
        <v>45236</v>
      </c>
      <c r="H318" s="56" t="str">
        <f ca="1">IF(OR(WEEKDAY($F318)=1,WEEKDAY($F318)=7),"Weekend",IFERROR(INDEX(INDIRECT("HolTbl"&amp;HolidaySheet&amp;"[Holiday]"),MATCH($F318,INDIRECT("HolTbl"&amp;HolidaySheet&amp;"[Date]"),0)),$G$10))</f>
        <v>Weekend</v>
      </c>
    </row>
    <row r="319" spans="6:8" x14ac:dyDescent="0.25">
      <c r="F319" s="55">
        <f t="shared" si="4"/>
        <v>45235</v>
      </c>
      <c r="G319" s="14" cm="1">
        <f t="array" aca="1" ref="G319" ca="1">GetBusinessDate($F319,BusinessDayConv,IF(ISBLANK(HolidaySheet),HolidaySheet,INDIRECT("HolTbl"&amp;HolidaySheet&amp;"[Date]")))</f>
        <v>45236</v>
      </c>
      <c r="H319" s="56" t="str">
        <f ca="1">IF(OR(WEEKDAY($F319)=1,WEEKDAY($F319)=7),"Weekend",IFERROR(INDEX(INDIRECT("HolTbl"&amp;HolidaySheet&amp;"[Holiday]"),MATCH($F319,INDIRECT("HolTbl"&amp;HolidaySheet&amp;"[Date]"),0)),$G$10))</f>
        <v>Weekend</v>
      </c>
    </row>
    <row r="320" spans="6:8" x14ac:dyDescent="0.25">
      <c r="F320" s="55">
        <f t="shared" si="4"/>
        <v>45236</v>
      </c>
      <c r="G320" s="14" cm="1">
        <f t="array" aca="1" ref="G320" ca="1">GetBusinessDate($F320,BusinessDayConv,IF(ISBLANK(HolidaySheet),HolidaySheet,INDIRECT("HolTbl"&amp;HolidaySheet&amp;"[Date]")))</f>
        <v>45236</v>
      </c>
      <c r="H320" s="56" t="str">
        <f ca="1">IF(OR(WEEKDAY($F320)=1,WEEKDAY($F320)=7),"Weekend",IFERROR(INDEX(INDIRECT("HolTbl"&amp;HolidaySheet&amp;"[Holiday]"),MATCH($F320,INDIRECT("HolTbl"&amp;HolidaySheet&amp;"[Date]"),0)),$G$10))</f>
        <v>Good Business Date</v>
      </c>
    </row>
    <row r="321" spans="6:8" x14ac:dyDescent="0.25">
      <c r="F321" s="55">
        <f t="shared" si="4"/>
        <v>45237</v>
      </c>
      <c r="G321" s="14" cm="1">
        <f t="array" aca="1" ref="G321" ca="1">GetBusinessDate($F321,BusinessDayConv,IF(ISBLANK(HolidaySheet),HolidaySheet,INDIRECT("HolTbl"&amp;HolidaySheet&amp;"[Date]")))</f>
        <v>45237</v>
      </c>
      <c r="H321" s="56" t="str">
        <f ca="1">IF(OR(WEEKDAY($F321)=1,WEEKDAY($F321)=7),"Weekend",IFERROR(INDEX(INDIRECT("HolTbl"&amp;HolidaySheet&amp;"[Holiday]"),MATCH($F321,INDIRECT("HolTbl"&amp;HolidaySheet&amp;"[Date]"),0)),$G$10))</f>
        <v>Good Business Date</v>
      </c>
    </row>
    <row r="322" spans="6:8" x14ac:dyDescent="0.25">
      <c r="F322" s="55">
        <f t="shared" si="4"/>
        <v>45238</v>
      </c>
      <c r="G322" s="14" cm="1">
        <f t="array" aca="1" ref="G322" ca="1">GetBusinessDate($F322,BusinessDayConv,IF(ISBLANK(HolidaySheet),HolidaySheet,INDIRECT("HolTbl"&amp;HolidaySheet&amp;"[Date]")))</f>
        <v>45238</v>
      </c>
      <c r="H322" s="56" t="str">
        <f ca="1">IF(OR(WEEKDAY($F322)=1,WEEKDAY($F322)=7),"Weekend",IFERROR(INDEX(INDIRECT("HolTbl"&amp;HolidaySheet&amp;"[Holiday]"),MATCH($F322,INDIRECT("HolTbl"&amp;HolidaySheet&amp;"[Date]"),0)),$G$10))</f>
        <v>Good Business Date</v>
      </c>
    </row>
    <row r="323" spans="6:8" x14ac:dyDescent="0.25">
      <c r="F323" s="55">
        <f t="shared" si="4"/>
        <v>45239</v>
      </c>
      <c r="G323" s="14" cm="1">
        <f t="array" aca="1" ref="G323" ca="1">GetBusinessDate($F323,BusinessDayConv,IF(ISBLANK(HolidaySheet),HolidaySheet,INDIRECT("HolTbl"&amp;HolidaySheet&amp;"[Date]")))</f>
        <v>45239</v>
      </c>
      <c r="H323" s="56" t="str">
        <f ca="1">IF(OR(WEEKDAY($F323)=1,WEEKDAY($F323)=7),"Weekend",IFERROR(INDEX(INDIRECT("HolTbl"&amp;HolidaySheet&amp;"[Holiday]"),MATCH($F323,INDIRECT("HolTbl"&amp;HolidaySheet&amp;"[Date]"),0)),$G$10))</f>
        <v>Good Business Date</v>
      </c>
    </row>
    <row r="324" spans="6:8" x14ac:dyDescent="0.25">
      <c r="F324" s="55">
        <f t="shared" si="4"/>
        <v>45240</v>
      </c>
      <c r="G324" s="14" cm="1">
        <f t="array" aca="1" ref="G324" ca="1">GetBusinessDate($F324,BusinessDayConv,IF(ISBLANK(HolidaySheet),HolidaySheet,INDIRECT("HolTbl"&amp;HolidaySheet&amp;"[Date]")))</f>
        <v>45243</v>
      </c>
      <c r="H324" s="56" t="str">
        <f ca="1">IF(OR(WEEKDAY($F324)=1,WEEKDAY($F324)=7),"Weekend",IFERROR(INDEX(INDIRECT("HolTbl"&amp;HolidaySheet&amp;"[Holiday]"),MATCH($F324,INDIRECT("HolTbl"&amp;HolidaySheet&amp;"[Date]"),0)),$G$10))</f>
        <v>Veterans Day</v>
      </c>
    </row>
    <row r="325" spans="6:8" x14ac:dyDescent="0.25">
      <c r="F325" s="55">
        <f t="shared" si="4"/>
        <v>45241</v>
      </c>
      <c r="G325" s="14" cm="1">
        <f t="array" aca="1" ref="G325" ca="1">GetBusinessDate($F325,BusinessDayConv,IF(ISBLANK(HolidaySheet),HolidaySheet,INDIRECT("HolTbl"&amp;HolidaySheet&amp;"[Date]")))</f>
        <v>45243</v>
      </c>
      <c r="H325" s="56" t="str">
        <f ca="1">IF(OR(WEEKDAY($F325)=1,WEEKDAY($F325)=7),"Weekend",IFERROR(INDEX(INDIRECT("HolTbl"&amp;HolidaySheet&amp;"[Holiday]"),MATCH($F325,INDIRECT("HolTbl"&amp;HolidaySheet&amp;"[Date]"),0)),$G$10))</f>
        <v>Weekend</v>
      </c>
    </row>
    <row r="326" spans="6:8" x14ac:dyDescent="0.25">
      <c r="F326" s="55">
        <f t="shared" si="4"/>
        <v>45242</v>
      </c>
      <c r="G326" s="14" cm="1">
        <f t="array" aca="1" ref="G326" ca="1">GetBusinessDate($F326,BusinessDayConv,IF(ISBLANK(HolidaySheet),HolidaySheet,INDIRECT("HolTbl"&amp;HolidaySheet&amp;"[Date]")))</f>
        <v>45243</v>
      </c>
      <c r="H326" s="56" t="str">
        <f ca="1">IF(OR(WEEKDAY($F326)=1,WEEKDAY($F326)=7),"Weekend",IFERROR(INDEX(INDIRECT("HolTbl"&amp;HolidaySheet&amp;"[Holiday]"),MATCH($F326,INDIRECT("HolTbl"&amp;HolidaySheet&amp;"[Date]"),0)),$G$10))</f>
        <v>Weekend</v>
      </c>
    </row>
    <row r="327" spans="6:8" x14ac:dyDescent="0.25">
      <c r="F327" s="55">
        <f t="shared" si="4"/>
        <v>45243</v>
      </c>
      <c r="G327" s="14" cm="1">
        <f t="array" aca="1" ref="G327" ca="1">GetBusinessDate($F327,BusinessDayConv,IF(ISBLANK(HolidaySheet),HolidaySheet,INDIRECT("HolTbl"&amp;HolidaySheet&amp;"[Date]")))</f>
        <v>45243</v>
      </c>
      <c r="H327" s="56" t="str">
        <f ca="1">IF(OR(WEEKDAY($F327)=1,WEEKDAY($F327)=7),"Weekend",IFERROR(INDEX(INDIRECT("HolTbl"&amp;HolidaySheet&amp;"[Holiday]"),MATCH($F327,INDIRECT("HolTbl"&amp;HolidaySheet&amp;"[Date]"),0)),$G$10))</f>
        <v>Good Business Date</v>
      </c>
    </row>
    <row r="328" spans="6:8" x14ac:dyDescent="0.25">
      <c r="F328" s="55">
        <f t="shared" si="4"/>
        <v>45244</v>
      </c>
      <c r="G328" s="14" cm="1">
        <f t="array" aca="1" ref="G328" ca="1">GetBusinessDate($F328,BusinessDayConv,IF(ISBLANK(HolidaySheet),HolidaySheet,INDIRECT("HolTbl"&amp;HolidaySheet&amp;"[Date]")))</f>
        <v>45244</v>
      </c>
      <c r="H328" s="56" t="str">
        <f ca="1">IF(OR(WEEKDAY($F328)=1,WEEKDAY($F328)=7),"Weekend",IFERROR(INDEX(INDIRECT("HolTbl"&amp;HolidaySheet&amp;"[Holiday]"),MATCH($F328,INDIRECT("HolTbl"&amp;HolidaySheet&amp;"[Date]"),0)),$G$10))</f>
        <v>Good Business Date</v>
      </c>
    </row>
    <row r="329" spans="6:8" x14ac:dyDescent="0.25">
      <c r="F329" s="55">
        <f t="shared" si="4"/>
        <v>45245</v>
      </c>
      <c r="G329" s="14" cm="1">
        <f t="array" aca="1" ref="G329" ca="1">GetBusinessDate($F329,BusinessDayConv,IF(ISBLANK(HolidaySheet),HolidaySheet,INDIRECT("HolTbl"&amp;HolidaySheet&amp;"[Date]")))</f>
        <v>45245</v>
      </c>
      <c r="H329" s="56" t="str">
        <f ca="1">IF(OR(WEEKDAY($F329)=1,WEEKDAY($F329)=7),"Weekend",IFERROR(INDEX(INDIRECT("HolTbl"&amp;HolidaySheet&amp;"[Holiday]"),MATCH($F329,INDIRECT("HolTbl"&amp;HolidaySheet&amp;"[Date]"),0)),$G$10))</f>
        <v>Good Business Date</v>
      </c>
    </row>
    <row r="330" spans="6:8" x14ac:dyDescent="0.25">
      <c r="F330" s="55">
        <f t="shared" si="4"/>
        <v>45246</v>
      </c>
      <c r="G330" s="14" cm="1">
        <f t="array" aca="1" ref="G330" ca="1">GetBusinessDate($F330,BusinessDayConv,IF(ISBLANK(HolidaySheet),HolidaySheet,INDIRECT("HolTbl"&amp;HolidaySheet&amp;"[Date]")))</f>
        <v>45246</v>
      </c>
      <c r="H330" s="56" t="str">
        <f ca="1">IF(OR(WEEKDAY($F330)=1,WEEKDAY($F330)=7),"Weekend",IFERROR(INDEX(INDIRECT("HolTbl"&amp;HolidaySheet&amp;"[Holiday]"),MATCH($F330,INDIRECT("HolTbl"&amp;HolidaySheet&amp;"[Date]"),0)),$G$10))</f>
        <v>Good Business Date</v>
      </c>
    </row>
    <row r="331" spans="6:8" x14ac:dyDescent="0.25">
      <c r="F331" s="55">
        <f t="shared" si="4"/>
        <v>45247</v>
      </c>
      <c r="G331" s="14" cm="1">
        <f t="array" aca="1" ref="G331" ca="1">GetBusinessDate($F331,BusinessDayConv,IF(ISBLANK(HolidaySheet),HolidaySheet,INDIRECT("HolTbl"&amp;HolidaySheet&amp;"[Date]")))</f>
        <v>45247</v>
      </c>
      <c r="H331" s="56" t="str">
        <f ca="1">IF(OR(WEEKDAY($F331)=1,WEEKDAY($F331)=7),"Weekend",IFERROR(INDEX(INDIRECT("HolTbl"&amp;HolidaySheet&amp;"[Holiday]"),MATCH($F331,INDIRECT("HolTbl"&amp;HolidaySheet&amp;"[Date]"),0)),$G$10))</f>
        <v>Good Business Date</v>
      </c>
    </row>
    <row r="332" spans="6:8" x14ac:dyDescent="0.25">
      <c r="F332" s="55">
        <f t="shared" si="4"/>
        <v>45248</v>
      </c>
      <c r="G332" s="14" cm="1">
        <f t="array" aca="1" ref="G332" ca="1">GetBusinessDate($F332,BusinessDayConv,IF(ISBLANK(HolidaySheet),HolidaySheet,INDIRECT("HolTbl"&amp;HolidaySheet&amp;"[Date]")))</f>
        <v>45250</v>
      </c>
      <c r="H332" s="56" t="str">
        <f ca="1">IF(OR(WEEKDAY($F332)=1,WEEKDAY($F332)=7),"Weekend",IFERROR(INDEX(INDIRECT("HolTbl"&amp;HolidaySheet&amp;"[Holiday]"),MATCH($F332,INDIRECT("HolTbl"&amp;HolidaySheet&amp;"[Date]"),0)),$G$10))</f>
        <v>Weekend</v>
      </c>
    </row>
    <row r="333" spans="6:8" x14ac:dyDescent="0.25">
      <c r="F333" s="55">
        <f t="shared" ref="F333:F375" si="5">F332+1</f>
        <v>45249</v>
      </c>
      <c r="G333" s="14" cm="1">
        <f t="array" aca="1" ref="G333" ca="1">GetBusinessDate($F333,BusinessDayConv,IF(ISBLANK(HolidaySheet),HolidaySheet,INDIRECT("HolTbl"&amp;HolidaySheet&amp;"[Date]")))</f>
        <v>45250</v>
      </c>
      <c r="H333" s="56" t="str">
        <f ca="1">IF(OR(WEEKDAY($F333)=1,WEEKDAY($F333)=7),"Weekend",IFERROR(INDEX(INDIRECT("HolTbl"&amp;HolidaySheet&amp;"[Holiday]"),MATCH($F333,INDIRECT("HolTbl"&amp;HolidaySheet&amp;"[Date]"),0)),$G$10))</f>
        <v>Weekend</v>
      </c>
    </row>
    <row r="334" spans="6:8" x14ac:dyDescent="0.25">
      <c r="F334" s="55">
        <f t="shared" si="5"/>
        <v>45250</v>
      </c>
      <c r="G334" s="14" cm="1">
        <f t="array" aca="1" ref="G334" ca="1">GetBusinessDate($F334,BusinessDayConv,IF(ISBLANK(HolidaySheet),HolidaySheet,INDIRECT("HolTbl"&amp;HolidaySheet&amp;"[Date]")))</f>
        <v>45250</v>
      </c>
      <c r="H334" s="56" t="str">
        <f ca="1">IF(OR(WEEKDAY($F334)=1,WEEKDAY($F334)=7),"Weekend",IFERROR(INDEX(INDIRECT("HolTbl"&amp;HolidaySheet&amp;"[Holiday]"),MATCH($F334,INDIRECT("HolTbl"&amp;HolidaySheet&amp;"[Date]"),0)),$G$10))</f>
        <v>Good Business Date</v>
      </c>
    </row>
    <row r="335" spans="6:8" x14ac:dyDescent="0.25">
      <c r="F335" s="55">
        <f t="shared" si="5"/>
        <v>45251</v>
      </c>
      <c r="G335" s="14" cm="1">
        <f t="array" aca="1" ref="G335" ca="1">GetBusinessDate($F335,BusinessDayConv,IF(ISBLANK(HolidaySheet),HolidaySheet,INDIRECT("HolTbl"&amp;HolidaySheet&amp;"[Date]")))</f>
        <v>45251</v>
      </c>
      <c r="H335" s="56" t="str">
        <f ca="1">IF(OR(WEEKDAY($F335)=1,WEEKDAY($F335)=7),"Weekend",IFERROR(INDEX(INDIRECT("HolTbl"&amp;HolidaySheet&amp;"[Holiday]"),MATCH($F335,INDIRECT("HolTbl"&amp;HolidaySheet&amp;"[Date]"),0)),$G$10))</f>
        <v>Good Business Date</v>
      </c>
    </row>
    <row r="336" spans="6:8" x14ac:dyDescent="0.25">
      <c r="F336" s="55">
        <f t="shared" si="5"/>
        <v>45252</v>
      </c>
      <c r="G336" s="14" cm="1">
        <f t="array" aca="1" ref="G336" ca="1">GetBusinessDate($F336,BusinessDayConv,IF(ISBLANK(HolidaySheet),HolidaySheet,INDIRECT("HolTbl"&amp;HolidaySheet&amp;"[Date]")))</f>
        <v>45252</v>
      </c>
      <c r="H336" s="56" t="str">
        <f ca="1">IF(OR(WEEKDAY($F336)=1,WEEKDAY($F336)=7),"Weekend",IFERROR(INDEX(INDIRECT("HolTbl"&amp;HolidaySheet&amp;"[Holiday]"),MATCH($F336,INDIRECT("HolTbl"&amp;HolidaySheet&amp;"[Date]"),0)),$G$10))</f>
        <v>Good Business Date</v>
      </c>
    </row>
    <row r="337" spans="6:8" x14ac:dyDescent="0.25">
      <c r="F337" s="55">
        <f t="shared" si="5"/>
        <v>45253</v>
      </c>
      <c r="G337" s="14" cm="1">
        <f t="array" aca="1" ref="G337" ca="1">GetBusinessDate($F337,BusinessDayConv,IF(ISBLANK(HolidaySheet),HolidaySheet,INDIRECT("HolTbl"&amp;HolidaySheet&amp;"[Date]")))</f>
        <v>45254</v>
      </c>
      <c r="H337" s="56" t="str">
        <f ca="1">IF(OR(WEEKDAY($F337)=1,WEEKDAY($F337)=7),"Weekend",IFERROR(INDEX(INDIRECT("HolTbl"&amp;HolidaySheet&amp;"[Holiday]"),MATCH($F337,INDIRECT("HolTbl"&amp;HolidaySheet&amp;"[Date]"),0)),$G$10))</f>
        <v>Thanksgiving Day</v>
      </c>
    </row>
    <row r="338" spans="6:8" x14ac:dyDescent="0.25">
      <c r="F338" s="55">
        <f t="shared" si="5"/>
        <v>45254</v>
      </c>
      <c r="G338" s="14" cm="1">
        <f t="array" aca="1" ref="G338" ca="1">GetBusinessDate($F338,BusinessDayConv,IF(ISBLANK(HolidaySheet),HolidaySheet,INDIRECT("HolTbl"&amp;HolidaySheet&amp;"[Date]")))</f>
        <v>45254</v>
      </c>
      <c r="H338" s="56" t="str">
        <f ca="1">IF(OR(WEEKDAY($F338)=1,WEEKDAY($F338)=7),"Weekend",IFERROR(INDEX(INDIRECT("HolTbl"&amp;HolidaySheet&amp;"[Holiday]"),MATCH($F338,INDIRECT("HolTbl"&amp;HolidaySheet&amp;"[Date]"),0)),$G$10))</f>
        <v>Good Business Date</v>
      </c>
    </row>
    <row r="339" spans="6:8" x14ac:dyDescent="0.25">
      <c r="F339" s="55">
        <f t="shared" si="5"/>
        <v>45255</v>
      </c>
      <c r="G339" s="14" cm="1">
        <f t="array" aca="1" ref="G339" ca="1">GetBusinessDate($F339,BusinessDayConv,IF(ISBLANK(HolidaySheet),HolidaySheet,INDIRECT("HolTbl"&amp;HolidaySheet&amp;"[Date]")))</f>
        <v>45257</v>
      </c>
      <c r="H339" s="56" t="str">
        <f ca="1">IF(OR(WEEKDAY($F339)=1,WEEKDAY($F339)=7),"Weekend",IFERROR(INDEX(INDIRECT("HolTbl"&amp;HolidaySheet&amp;"[Holiday]"),MATCH($F339,INDIRECT("HolTbl"&amp;HolidaySheet&amp;"[Date]"),0)),$G$10))</f>
        <v>Weekend</v>
      </c>
    </row>
    <row r="340" spans="6:8" x14ac:dyDescent="0.25">
      <c r="F340" s="55">
        <f t="shared" si="5"/>
        <v>45256</v>
      </c>
      <c r="G340" s="14" cm="1">
        <f t="array" aca="1" ref="G340" ca="1">GetBusinessDate($F340,BusinessDayConv,IF(ISBLANK(HolidaySheet),HolidaySheet,INDIRECT("HolTbl"&amp;HolidaySheet&amp;"[Date]")))</f>
        <v>45257</v>
      </c>
      <c r="H340" s="56" t="str">
        <f ca="1">IF(OR(WEEKDAY($F340)=1,WEEKDAY($F340)=7),"Weekend",IFERROR(INDEX(INDIRECT("HolTbl"&amp;HolidaySheet&amp;"[Holiday]"),MATCH($F340,INDIRECT("HolTbl"&amp;HolidaySheet&amp;"[Date]"),0)),$G$10))</f>
        <v>Weekend</v>
      </c>
    </row>
    <row r="341" spans="6:8" x14ac:dyDescent="0.25">
      <c r="F341" s="55">
        <f t="shared" si="5"/>
        <v>45257</v>
      </c>
      <c r="G341" s="14" cm="1">
        <f t="array" aca="1" ref="G341" ca="1">GetBusinessDate($F341,BusinessDayConv,IF(ISBLANK(HolidaySheet),HolidaySheet,INDIRECT("HolTbl"&amp;HolidaySheet&amp;"[Date]")))</f>
        <v>45257</v>
      </c>
      <c r="H341" s="56" t="str">
        <f ca="1">IF(OR(WEEKDAY($F341)=1,WEEKDAY($F341)=7),"Weekend",IFERROR(INDEX(INDIRECT("HolTbl"&amp;HolidaySheet&amp;"[Holiday]"),MATCH($F341,INDIRECT("HolTbl"&amp;HolidaySheet&amp;"[Date]"),0)),$G$10))</f>
        <v>Good Business Date</v>
      </c>
    </row>
    <row r="342" spans="6:8" x14ac:dyDescent="0.25">
      <c r="F342" s="55">
        <f t="shared" si="5"/>
        <v>45258</v>
      </c>
      <c r="G342" s="14" cm="1">
        <f t="array" aca="1" ref="G342" ca="1">GetBusinessDate($F342,BusinessDayConv,IF(ISBLANK(HolidaySheet),HolidaySheet,INDIRECT("HolTbl"&amp;HolidaySheet&amp;"[Date]")))</f>
        <v>45258</v>
      </c>
      <c r="H342" s="56" t="str">
        <f ca="1">IF(OR(WEEKDAY($F342)=1,WEEKDAY($F342)=7),"Weekend",IFERROR(INDEX(INDIRECT("HolTbl"&amp;HolidaySheet&amp;"[Holiday]"),MATCH($F342,INDIRECT("HolTbl"&amp;HolidaySheet&amp;"[Date]"),0)),$G$10))</f>
        <v>Good Business Date</v>
      </c>
    </row>
    <row r="343" spans="6:8" x14ac:dyDescent="0.25">
      <c r="F343" s="55">
        <f t="shared" si="5"/>
        <v>45259</v>
      </c>
      <c r="G343" s="14" cm="1">
        <f t="array" aca="1" ref="G343" ca="1">GetBusinessDate($F343,BusinessDayConv,IF(ISBLANK(HolidaySheet),HolidaySheet,INDIRECT("HolTbl"&amp;HolidaySheet&amp;"[Date]")))</f>
        <v>45259</v>
      </c>
      <c r="H343" s="56" t="str">
        <f ca="1">IF(OR(WEEKDAY($F343)=1,WEEKDAY($F343)=7),"Weekend",IFERROR(INDEX(INDIRECT("HolTbl"&amp;HolidaySheet&amp;"[Holiday]"),MATCH($F343,INDIRECT("HolTbl"&amp;HolidaySheet&amp;"[Date]"),0)),$G$10))</f>
        <v>Good Business Date</v>
      </c>
    </row>
    <row r="344" spans="6:8" x14ac:dyDescent="0.25">
      <c r="F344" s="55">
        <f t="shared" si="5"/>
        <v>45260</v>
      </c>
      <c r="G344" s="14" cm="1">
        <f t="array" aca="1" ref="G344" ca="1">GetBusinessDate($F344,BusinessDayConv,IF(ISBLANK(HolidaySheet),HolidaySheet,INDIRECT("HolTbl"&amp;HolidaySheet&amp;"[Date]")))</f>
        <v>45260</v>
      </c>
      <c r="H344" s="56" t="str">
        <f ca="1">IF(OR(WEEKDAY($F344)=1,WEEKDAY($F344)=7),"Weekend",IFERROR(INDEX(INDIRECT("HolTbl"&amp;HolidaySheet&amp;"[Holiday]"),MATCH($F344,INDIRECT("HolTbl"&amp;HolidaySheet&amp;"[Date]"),0)),$G$10))</f>
        <v>Good Business Date</v>
      </c>
    </row>
    <row r="345" spans="6:8" x14ac:dyDescent="0.25">
      <c r="F345" s="55">
        <f t="shared" si="5"/>
        <v>45261</v>
      </c>
      <c r="G345" s="14" cm="1">
        <f t="array" aca="1" ref="G345" ca="1">GetBusinessDate($F345,BusinessDayConv,IF(ISBLANK(HolidaySheet),HolidaySheet,INDIRECT("HolTbl"&amp;HolidaySheet&amp;"[Date]")))</f>
        <v>45261</v>
      </c>
      <c r="H345" s="56" t="str">
        <f ca="1">IF(OR(WEEKDAY($F345)=1,WEEKDAY($F345)=7),"Weekend",IFERROR(INDEX(INDIRECT("HolTbl"&amp;HolidaySheet&amp;"[Holiday]"),MATCH($F345,INDIRECT("HolTbl"&amp;HolidaySheet&amp;"[Date]"),0)),$G$10))</f>
        <v>Good Business Date</v>
      </c>
    </row>
    <row r="346" spans="6:8" x14ac:dyDescent="0.25">
      <c r="F346" s="55">
        <f t="shared" si="5"/>
        <v>45262</v>
      </c>
      <c r="G346" s="14" cm="1">
        <f t="array" aca="1" ref="G346" ca="1">GetBusinessDate($F346,BusinessDayConv,IF(ISBLANK(HolidaySheet),HolidaySheet,INDIRECT("HolTbl"&amp;HolidaySheet&amp;"[Date]")))</f>
        <v>45264</v>
      </c>
      <c r="H346" s="56" t="str">
        <f ca="1">IF(OR(WEEKDAY($F346)=1,WEEKDAY($F346)=7),"Weekend",IFERROR(INDEX(INDIRECT("HolTbl"&amp;HolidaySheet&amp;"[Holiday]"),MATCH($F346,INDIRECT("HolTbl"&amp;HolidaySheet&amp;"[Date]"),0)),$G$10))</f>
        <v>Weekend</v>
      </c>
    </row>
    <row r="347" spans="6:8" x14ac:dyDescent="0.25">
      <c r="F347" s="55">
        <f t="shared" si="5"/>
        <v>45263</v>
      </c>
      <c r="G347" s="14" cm="1">
        <f t="array" aca="1" ref="G347" ca="1">GetBusinessDate($F347,BusinessDayConv,IF(ISBLANK(HolidaySheet),HolidaySheet,INDIRECT("HolTbl"&amp;HolidaySheet&amp;"[Date]")))</f>
        <v>45264</v>
      </c>
      <c r="H347" s="56" t="str">
        <f ca="1">IF(OR(WEEKDAY($F347)=1,WEEKDAY($F347)=7),"Weekend",IFERROR(INDEX(INDIRECT("HolTbl"&amp;HolidaySheet&amp;"[Holiday]"),MATCH($F347,INDIRECT("HolTbl"&amp;HolidaySheet&amp;"[Date]"),0)),$G$10))</f>
        <v>Weekend</v>
      </c>
    </row>
    <row r="348" spans="6:8" x14ac:dyDescent="0.25">
      <c r="F348" s="55">
        <f t="shared" si="5"/>
        <v>45264</v>
      </c>
      <c r="G348" s="14" cm="1">
        <f t="array" aca="1" ref="G348" ca="1">GetBusinessDate($F348,BusinessDayConv,IF(ISBLANK(HolidaySheet),HolidaySheet,INDIRECT("HolTbl"&amp;HolidaySheet&amp;"[Date]")))</f>
        <v>45264</v>
      </c>
      <c r="H348" s="56" t="str">
        <f ca="1">IF(OR(WEEKDAY($F348)=1,WEEKDAY($F348)=7),"Weekend",IFERROR(INDEX(INDIRECT("HolTbl"&amp;HolidaySheet&amp;"[Holiday]"),MATCH($F348,INDIRECT("HolTbl"&amp;HolidaySheet&amp;"[Date]"),0)),$G$10))</f>
        <v>Good Business Date</v>
      </c>
    </row>
    <row r="349" spans="6:8" x14ac:dyDescent="0.25">
      <c r="F349" s="55">
        <f t="shared" si="5"/>
        <v>45265</v>
      </c>
      <c r="G349" s="14" cm="1">
        <f t="array" aca="1" ref="G349" ca="1">GetBusinessDate($F349,BusinessDayConv,IF(ISBLANK(HolidaySheet),HolidaySheet,INDIRECT("HolTbl"&amp;HolidaySheet&amp;"[Date]")))</f>
        <v>45265</v>
      </c>
      <c r="H349" s="56" t="str">
        <f ca="1">IF(OR(WEEKDAY($F349)=1,WEEKDAY($F349)=7),"Weekend",IFERROR(INDEX(INDIRECT("HolTbl"&amp;HolidaySheet&amp;"[Holiday]"),MATCH($F349,INDIRECT("HolTbl"&amp;HolidaySheet&amp;"[Date]"),0)),$G$10))</f>
        <v>Good Business Date</v>
      </c>
    </row>
    <row r="350" spans="6:8" x14ac:dyDescent="0.25">
      <c r="F350" s="55">
        <f t="shared" si="5"/>
        <v>45266</v>
      </c>
      <c r="G350" s="14" cm="1">
        <f t="array" aca="1" ref="G350" ca="1">GetBusinessDate($F350,BusinessDayConv,IF(ISBLANK(HolidaySheet),HolidaySheet,INDIRECT("HolTbl"&amp;HolidaySheet&amp;"[Date]")))</f>
        <v>45266</v>
      </c>
      <c r="H350" s="56" t="str">
        <f ca="1">IF(OR(WEEKDAY($F350)=1,WEEKDAY($F350)=7),"Weekend",IFERROR(INDEX(INDIRECT("HolTbl"&amp;HolidaySheet&amp;"[Holiday]"),MATCH($F350,INDIRECT("HolTbl"&amp;HolidaySheet&amp;"[Date]"),0)),$G$10))</f>
        <v>Good Business Date</v>
      </c>
    </row>
    <row r="351" spans="6:8" x14ac:dyDescent="0.25">
      <c r="F351" s="55">
        <f t="shared" si="5"/>
        <v>45267</v>
      </c>
      <c r="G351" s="14" cm="1">
        <f t="array" aca="1" ref="G351" ca="1">GetBusinessDate($F351,BusinessDayConv,IF(ISBLANK(HolidaySheet),HolidaySheet,INDIRECT("HolTbl"&amp;HolidaySheet&amp;"[Date]")))</f>
        <v>45267</v>
      </c>
      <c r="H351" s="56" t="str">
        <f ca="1">IF(OR(WEEKDAY($F351)=1,WEEKDAY($F351)=7),"Weekend",IFERROR(INDEX(INDIRECT("HolTbl"&amp;HolidaySheet&amp;"[Holiday]"),MATCH($F351,INDIRECT("HolTbl"&amp;HolidaySheet&amp;"[Date]"),0)),$G$10))</f>
        <v>Good Business Date</v>
      </c>
    </row>
    <row r="352" spans="6:8" x14ac:dyDescent="0.25">
      <c r="F352" s="55">
        <f t="shared" si="5"/>
        <v>45268</v>
      </c>
      <c r="G352" s="14" cm="1">
        <f t="array" aca="1" ref="G352" ca="1">GetBusinessDate($F352,BusinessDayConv,IF(ISBLANK(HolidaySheet),HolidaySheet,INDIRECT("HolTbl"&amp;HolidaySheet&amp;"[Date]")))</f>
        <v>45268</v>
      </c>
      <c r="H352" s="56" t="str">
        <f ca="1">IF(OR(WEEKDAY($F352)=1,WEEKDAY($F352)=7),"Weekend",IFERROR(INDEX(INDIRECT("HolTbl"&amp;HolidaySheet&amp;"[Holiday]"),MATCH($F352,INDIRECT("HolTbl"&amp;HolidaySheet&amp;"[Date]"),0)),$G$10))</f>
        <v>Good Business Date</v>
      </c>
    </row>
    <row r="353" spans="6:8" x14ac:dyDescent="0.25">
      <c r="F353" s="55">
        <f t="shared" si="5"/>
        <v>45269</v>
      </c>
      <c r="G353" s="14" cm="1">
        <f t="array" aca="1" ref="G353" ca="1">GetBusinessDate($F353,BusinessDayConv,IF(ISBLANK(HolidaySheet),HolidaySheet,INDIRECT("HolTbl"&amp;HolidaySheet&amp;"[Date]")))</f>
        <v>45271</v>
      </c>
      <c r="H353" s="56" t="str">
        <f ca="1">IF(OR(WEEKDAY($F353)=1,WEEKDAY($F353)=7),"Weekend",IFERROR(INDEX(INDIRECT("HolTbl"&amp;HolidaySheet&amp;"[Holiday]"),MATCH($F353,INDIRECT("HolTbl"&amp;HolidaySheet&amp;"[Date]"),0)),$G$10))</f>
        <v>Weekend</v>
      </c>
    </row>
    <row r="354" spans="6:8" x14ac:dyDescent="0.25">
      <c r="F354" s="55">
        <f t="shared" si="5"/>
        <v>45270</v>
      </c>
      <c r="G354" s="14" cm="1">
        <f t="array" aca="1" ref="G354" ca="1">GetBusinessDate($F354,BusinessDayConv,IF(ISBLANK(HolidaySheet),HolidaySheet,INDIRECT("HolTbl"&amp;HolidaySheet&amp;"[Date]")))</f>
        <v>45271</v>
      </c>
      <c r="H354" s="56" t="str">
        <f ca="1">IF(OR(WEEKDAY($F354)=1,WEEKDAY($F354)=7),"Weekend",IFERROR(INDEX(INDIRECT("HolTbl"&amp;HolidaySheet&amp;"[Holiday]"),MATCH($F354,INDIRECT("HolTbl"&amp;HolidaySheet&amp;"[Date]"),0)),$G$10))</f>
        <v>Weekend</v>
      </c>
    </row>
    <row r="355" spans="6:8" x14ac:dyDescent="0.25">
      <c r="F355" s="55">
        <f t="shared" si="5"/>
        <v>45271</v>
      </c>
      <c r="G355" s="14" cm="1">
        <f t="array" aca="1" ref="G355" ca="1">GetBusinessDate($F355,BusinessDayConv,IF(ISBLANK(HolidaySheet),HolidaySheet,INDIRECT("HolTbl"&amp;HolidaySheet&amp;"[Date]")))</f>
        <v>45271</v>
      </c>
      <c r="H355" s="56" t="str">
        <f ca="1">IF(OR(WEEKDAY($F355)=1,WEEKDAY($F355)=7),"Weekend",IFERROR(INDEX(INDIRECT("HolTbl"&amp;HolidaySheet&amp;"[Holiday]"),MATCH($F355,INDIRECT("HolTbl"&amp;HolidaySheet&amp;"[Date]"),0)),$G$10))</f>
        <v>Good Business Date</v>
      </c>
    </row>
    <row r="356" spans="6:8" x14ac:dyDescent="0.25">
      <c r="F356" s="55">
        <f t="shared" si="5"/>
        <v>45272</v>
      </c>
      <c r="G356" s="14" cm="1">
        <f t="array" aca="1" ref="G356" ca="1">GetBusinessDate($F356,BusinessDayConv,IF(ISBLANK(HolidaySheet),HolidaySheet,INDIRECT("HolTbl"&amp;HolidaySheet&amp;"[Date]")))</f>
        <v>45272</v>
      </c>
      <c r="H356" s="56" t="str">
        <f ca="1">IF(OR(WEEKDAY($F356)=1,WEEKDAY($F356)=7),"Weekend",IFERROR(INDEX(INDIRECT("HolTbl"&amp;HolidaySheet&amp;"[Holiday]"),MATCH($F356,INDIRECT("HolTbl"&amp;HolidaySheet&amp;"[Date]"),0)),$G$10))</f>
        <v>Good Business Date</v>
      </c>
    </row>
    <row r="357" spans="6:8" x14ac:dyDescent="0.25">
      <c r="F357" s="55">
        <f t="shared" si="5"/>
        <v>45273</v>
      </c>
      <c r="G357" s="14" cm="1">
        <f t="array" aca="1" ref="G357" ca="1">GetBusinessDate($F357,BusinessDayConv,IF(ISBLANK(HolidaySheet),HolidaySheet,INDIRECT("HolTbl"&amp;HolidaySheet&amp;"[Date]")))</f>
        <v>45273</v>
      </c>
      <c r="H357" s="56" t="str">
        <f ca="1">IF(OR(WEEKDAY($F357)=1,WEEKDAY($F357)=7),"Weekend",IFERROR(INDEX(INDIRECT("HolTbl"&amp;HolidaySheet&amp;"[Holiday]"),MATCH($F357,INDIRECT("HolTbl"&amp;HolidaySheet&amp;"[Date]"),0)),$G$10))</f>
        <v>Good Business Date</v>
      </c>
    </row>
    <row r="358" spans="6:8" x14ac:dyDescent="0.25">
      <c r="F358" s="55">
        <f t="shared" si="5"/>
        <v>45274</v>
      </c>
      <c r="G358" s="14" cm="1">
        <f t="array" aca="1" ref="G358" ca="1">GetBusinessDate($F358,BusinessDayConv,IF(ISBLANK(HolidaySheet),HolidaySheet,INDIRECT("HolTbl"&amp;HolidaySheet&amp;"[Date]")))</f>
        <v>45274</v>
      </c>
      <c r="H358" s="56" t="str">
        <f ca="1">IF(OR(WEEKDAY($F358)=1,WEEKDAY($F358)=7),"Weekend",IFERROR(INDEX(INDIRECT("HolTbl"&amp;HolidaySheet&amp;"[Holiday]"),MATCH($F358,INDIRECT("HolTbl"&amp;HolidaySheet&amp;"[Date]"),0)),$G$10))</f>
        <v>Good Business Date</v>
      </c>
    </row>
    <row r="359" spans="6:8" x14ac:dyDescent="0.25">
      <c r="F359" s="55">
        <f t="shared" si="5"/>
        <v>45275</v>
      </c>
      <c r="G359" s="14" cm="1">
        <f t="array" aca="1" ref="G359" ca="1">GetBusinessDate($F359,BusinessDayConv,IF(ISBLANK(HolidaySheet),HolidaySheet,INDIRECT("HolTbl"&amp;HolidaySheet&amp;"[Date]")))</f>
        <v>45275</v>
      </c>
      <c r="H359" s="56" t="str">
        <f ca="1">IF(OR(WEEKDAY($F359)=1,WEEKDAY($F359)=7),"Weekend",IFERROR(INDEX(INDIRECT("HolTbl"&amp;HolidaySheet&amp;"[Holiday]"),MATCH($F359,INDIRECT("HolTbl"&amp;HolidaySheet&amp;"[Date]"),0)),$G$10))</f>
        <v>Good Business Date</v>
      </c>
    </row>
    <row r="360" spans="6:8" x14ac:dyDescent="0.25">
      <c r="F360" s="55">
        <f t="shared" si="5"/>
        <v>45276</v>
      </c>
      <c r="G360" s="14" cm="1">
        <f t="array" aca="1" ref="G360" ca="1">GetBusinessDate($F360,BusinessDayConv,IF(ISBLANK(HolidaySheet),HolidaySheet,INDIRECT("HolTbl"&amp;HolidaySheet&amp;"[Date]")))</f>
        <v>45278</v>
      </c>
      <c r="H360" s="56" t="str">
        <f ca="1">IF(OR(WEEKDAY($F360)=1,WEEKDAY($F360)=7),"Weekend",IFERROR(INDEX(INDIRECT("HolTbl"&amp;HolidaySheet&amp;"[Holiday]"),MATCH($F360,INDIRECT("HolTbl"&amp;HolidaySheet&amp;"[Date]"),0)),$G$10))</f>
        <v>Weekend</v>
      </c>
    </row>
    <row r="361" spans="6:8" x14ac:dyDescent="0.25">
      <c r="F361" s="55">
        <f t="shared" si="5"/>
        <v>45277</v>
      </c>
      <c r="G361" s="14" cm="1">
        <f t="array" aca="1" ref="G361" ca="1">GetBusinessDate($F361,BusinessDayConv,IF(ISBLANK(HolidaySheet),HolidaySheet,INDIRECT("HolTbl"&amp;HolidaySheet&amp;"[Date]")))</f>
        <v>45278</v>
      </c>
      <c r="H361" s="56" t="str">
        <f ca="1">IF(OR(WEEKDAY($F361)=1,WEEKDAY($F361)=7),"Weekend",IFERROR(INDEX(INDIRECT("HolTbl"&amp;HolidaySheet&amp;"[Holiday]"),MATCH($F361,INDIRECT("HolTbl"&amp;HolidaySheet&amp;"[Date]"),0)),$G$10))</f>
        <v>Weekend</v>
      </c>
    </row>
    <row r="362" spans="6:8" x14ac:dyDescent="0.25">
      <c r="F362" s="55">
        <f t="shared" si="5"/>
        <v>45278</v>
      </c>
      <c r="G362" s="14" cm="1">
        <f t="array" aca="1" ref="G362" ca="1">GetBusinessDate($F362,BusinessDayConv,IF(ISBLANK(HolidaySheet),HolidaySheet,INDIRECT("HolTbl"&amp;HolidaySheet&amp;"[Date]")))</f>
        <v>45278</v>
      </c>
      <c r="H362" s="56" t="str">
        <f ca="1">IF(OR(WEEKDAY($F362)=1,WEEKDAY($F362)=7),"Weekend",IFERROR(INDEX(INDIRECT("HolTbl"&amp;HolidaySheet&amp;"[Holiday]"),MATCH($F362,INDIRECT("HolTbl"&amp;HolidaySheet&amp;"[Date]"),0)),$G$10))</f>
        <v>Good Business Date</v>
      </c>
    </row>
    <row r="363" spans="6:8" x14ac:dyDescent="0.25">
      <c r="F363" s="55">
        <f t="shared" si="5"/>
        <v>45279</v>
      </c>
      <c r="G363" s="14" cm="1">
        <f t="array" aca="1" ref="G363" ca="1">GetBusinessDate($F363,BusinessDayConv,IF(ISBLANK(HolidaySheet),HolidaySheet,INDIRECT("HolTbl"&amp;HolidaySheet&amp;"[Date]")))</f>
        <v>45279</v>
      </c>
      <c r="H363" s="56" t="str">
        <f ca="1">IF(OR(WEEKDAY($F363)=1,WEEKDAY($F363)=7),"Weekend",IFERROR(INDEX(INDIRECT("HolTbl"&amp;HolidaySheet&amp;"[Holiday]"),MATCH($F363,INDIRECT("HolTbl"&amp;HolidaySheet&amp;"[Date]"),0)),$G$10))</f>
        <v>Good Business Date</v>
      </c>
    </row>
    <row r="364" spans="6:8" x14ac:dyDescent="0.25">
      <c r="F364" s="55">
        <f t="shared" si="5"/>
        <v>45280</v>
      </c>
      <c r="G364" s="14" cm="1">
        <f t="array" aca="1" ref="G364" ca="1">GetBusinessDate($F364,BusinessDayConv,IF(ISBLANK(HolidaySheet),HolidaySheet,INDIRECT("HolTbl"&amp;HolidaySheet&amp;"[Date]")))</f>
        <v>45280</v>
      </c>
      <c r="H364" s="56" t="str">
        <f ca="1">IF(OR(WEEKDAY($F364)=1,WEEKDAY($F364)=7),"Weekend",IFERROR(INDEX(INDIRECT("HolTbl"&amp;HolidaySheet&amp;"[Holiday]"),MATCH($F364,INDIRECT("HolTbl"&amp;HolidaySheet&amp;"[Date]"),0)),$G$10))</f>
        <v>Good Business Date</v>
      </c>
    </row>
    <row r="365" spans="6:8" x14ac:dyDescent="0.25">
      <c r="F365" s="55">
        <f t="shared" si="5"/>
        <v>45281</v>
      </c>
      <c r="G365" s="14" cm="1">
        <f t="array" aca="1" ref="G365" ca="1">GetBusinessDate($F365,BusinessDayConv,IF(ISBLANK(HolidaySheet),HolidaySheet,INDIRECT("HolTbl"&amp;HolidaySheet&amp;"[Date]")))</f>
        <v>45281</v>
      </c>
      <c r="H365" s="56" t="str">
        <f ca="1">IF(OR(WEEKDAY($F365)=1,WEEKDAY($F365)=7),"Weekend",IFERROR(INDEX(INDIRECT("HolTbl"&amp;HolidaySheet&amp;"[Holiday]"),MATCH($F365,INDIRECT("HolTbl"&amp;HolidaySheet&amp;"[Date]"),0)),$G$10))</f>
        <v>Good Business Date</v>
      </c>
    </row>
    <row r="366" spans="6:8" x14ac:dyDescent="0.25">
      <c r="F366" s="55">
        <f t="shared" si="5"/>
        <v>45282</v>
      </c>
      <c r="G366" s="14" cm="1">
        <f t="array" aca="1" ref="G366" ca="1">GetBusinessDate($F366,BusinessDayConv,IF(ISBLANK(HolidaySheet),HolidaySheet,INDIRECT("HolTbl"&amp;HolidaySheet&amp;"[Date]")))</f>
        <v>45282</v>
      </c>
      <c r="H366" s="56" t="str">
        <f ca="1">IF(OR(WEEKDAY($F366)=1,WEEKDAY($F366)=7),"Weekend",IFERROR(INDEX(INDIRECT("HolTbl"&amp;HolidaySheet&amp;"[Holiday]"),MATCH($F366,INDIRECT("HolTbl"&amp;HolidaySheet&amp;"[Date]"),0)),$G$10))</f>
        <v>Good Business Date</v>
      </c>
    </row>
    <row r="367" spans="6:8" x14ac:dyDescent="0.25">
      <c r="F367" s="55">
        <f t="shared" si="5"/>
        <v>45283</v>
      </c>
      <c r="G367" s="14" cm="1">
        <f t="array" aca="1" ref="G367" ca="1">GetBusinessDate($F367,BusinessDayConv,IF(ISBLANK(HolidaySheet),HolidaySheet,INDIRECT("HolTbl"&amp;HolidaySheet&amp;"[Date]")))</f>
        <v>45286</v>
      </c>
      <c r="H367" s="56" t="str">
        <f ca="1">IF(OR(WEEKDAY($F367)=1,WEEKDAY($F367)=7),"Weekend",IFERROR(INDEX(INDIRECT("HolTbl"&amp;HolidaySheet&amp;"[Holiday]"),MATCH($F367,INDIRECT("HolTbl"&amp;HolidaySheet&amp;"[Date]"),0)),$G$10))</f>
        <v>Weekend</v>
      </c>
    </row>
    <row r="368" spans="6:8" x14ac:dyDescent="0.25">
      <c r="F368" s="55">
        <f t="shared" si="5"/>
        <v>45284</v>
      </c>
      <c r="G368" s="14" cm="1">
        <f t="array" aca="1" ref="G368" ca="1">GetBusinessDate($F368,BusinessDayConv,IF(ISBLANK(HolidaySheet),HolidaySheet,INDIRECT("HolTbl"&amp;HolidaySheet&amp;"[Date]")))</f>
        <v>45286</v>
      </c>
      <c r="H368" s="56" t="str">
        <f ca="1">IF(OR(WEEKDAY($F368)=1,WEEKDAY($F368)=7),"Weekend",IFERROR(INDEX(INDIRECT("HolTbl"&amp;HolidaySheet&amp;"[Holiday]"),MATCH($F368,INDIRECT("HolTbl"&amp;HolidaySheet&amp;"[Date]"),0)),$G$10))</f>
        <v>Weekend</v>
      </c>
    </row>
    <row r="369" spans="6:8" x14ac:dyDescent="0.25">
      <c r="F369" s="55">
        <f t="shared" si="5"/>
        <v>45285</v>
      </c>
      <c r="G369" s="14" cm="1">
        <f t="array" aca="1" ref="G369" ca="1">GetBusinessDate($F369,BusinessDayConv,IF(ISBLANK(HolidaySheet),HolidaySheet,INDIRECT("HolTbl"&amp;HolidaySheet&amp;"[Date]")))</f>
        <v>45286</v>
      </c>
      <c r="H369" s="56" t="str">
        <f ca="1">IF(OR(WEEKDAY($F369)=1,WEEKDAY($F369)=7),"Weekend",IFERROR(INDEX(INDIRECT("HolTbl"&amp;HolidaySheet&amp;"[Holiday]"),MATCH($F369,INDIRECT("HolTbl"&amp;HolidaySheet&amp;"[Date]"),0)),$G$10))</f>
        <v>Christmas Day</v>
      </c>
    </row>
    <row r="370" spans="6:8" x14ac:dyDescent="0.25">
      <c r="F370" s="55">
        <f t="shared" si="5"/>
        <v>45286</v>
      </c>
      <c r="G370" s="14" cm="1">
        <f t="array" aca="1" ref="G370" ca="1">GetBusinessDate($F370,BusinessDayConv,IF(ISBLANK(HolidaySheet),HolidaySheet,INDIRECT("HolTbl"&amp;HolidaySheet&amp;"[Date]")))</f>
        <v>45286</v>
      </c>
      <c r="H370" s="56" t="str">
        <f ca="1">IF(OR(WEEKDAY($F370)=1,WEEKDAY($F370)=7),"Weekend",IFERROR(INDEX(INDIRECT("HolTbl"&amp;HolidaySheet&amp;"[Holiday]"),MATCH($F370,INDIRECT("HolTbl"&amp;HolidaySheet&amp;"[Date]"),0)),$G$10))</f>
        <v>Good Business Date</v>
      </c>
    </row>
    <row r="371" spans="6:8" x14ac:dyDescent="0.25">
      <c r="F371" s="55">
        <f t="shared" si="5"/>
        <v>45287</v>
      </c>
      <c r="G371" s="14" cm="1">
        <f t="array" aca="1" ref="G371" ca="1">GetBusinessDate($F371,BusinessDayConv,IF(ISBLANK(HolidaySheet),HolidaySheet,INDIRECT("HolTbl"&amp;HolidaySheet&amp;"[Date]")))</f>
        <v>45287</v>
      </c>
      <c r="H371" s="56" t="str">
        <f ca="1">IF(OR(WEEKDAY($F371)=1,WEEKDAY($F371)=7),"Weekend",IFERROR(INDEX(INDIRECT("HolTbl"&amp;HolidaySheet&amp;"[Holiday]"),MATCH($F371,INDIRECT("HolTbl"&amp;HolidaySheet&amp;"[Date]"),0)),$G$10))</f>
        <v>Good Business Date</v>
      </c>
    </row>
    <row r="372" spans="6:8" x14ac:dyDescent="0.25">
      <c r="F372" s="55">
        <f t="shared" si="5"/>
        <v>45288</v>
      </c>
      <c r="G372" s="14" cm="1">
        <f t="array" aca="1" ref="G372" ca="1">GetBusinessDate($F372,BusinessDayConv,IF(ISBLANK(HolidaySheet),HolidaySheet,INDIRECT("HolTbl"&amp;HolidaySheet&amp;"[Date]")))</f>
        <v>45288</v>
      </c>
      <c r="H372" s="56" t="str">
        <f ca="1">IF(OR(WEEKDAY($F372)=1,WEEKDAY($F372)=7),"Weekend",IFERROR(INDEX(INDIRECT("HolTbl"&amp;HolidaySheet&amp;"[Holiday]"),MATCH($F372,INDIRECT("HolTbl"&amp;HolidaySheet&amp;"[Date]"),0)),$G$10))</f>
        <v>Good Business Date</v>
      </c>
    </row>
    <row r="373" spans="6:8" x14ac:dyDescent="0.25">
      <c r="F373" s="55">
        <f t="shared" si="5"/>
        <v>45289</v>
      </c>
      <c r="G373" s="14" cm="1">
        <f t="array" aca="1" ref="G373" ca="1">GetBusinessDate($F373,BusinessDayConv,IF(ISBLANK(HolidaySheet),HolidaySheet,INDIRECT("HolTbl"&amp;HolidaySheet&amp;"[Date]")))</f>
        <v>45289</v>
      </c>
      <c r="H373" s="56" t="str">
        <f ca="1">IF(OR(WEEKDAY($F373)=1,WEEKDAY($F373)=7),"Weekend",IFERROR(INDEX(INDIRECT("HolTbl"&amp;HolidaySheet&amp;"[Holiday]"),MATCH($F373,INDIRECT("HolTbl"&amp;HolidaySheet&amp;"[Date]"),0)),$G$10))</f>
        <v>Good Business Date</v>
      </c>
    </row>
    <row r="374" spans="6:8" x14ac:dyDescent="0.25">
      <c r="F374" s="55">
        <f t="shared" si="5"/>
        <v>45290</v>
      </c>
      <c r="G374" s="14" cm="1">
        <f t="array" aca="1" ref="G374" ca="1">GetBusinessDate($F374,BusinessDayConv,IF(ISBLANK(HolidaySheet),HolidaySheet,INDIRECT("HolTbl"&amp;HolidaySheet&amp;"[Date]")))</f>
        <v>45289</v>
      </c>
      <c r="H374" s="56" t="str">
        <f ca="1">IF(OR(WEEKDAY($F374)=1,WEEKDAY($F374)=7),"Weekend",IFERROR(INDEX(INDIRECT("HolTbl"&amp;HolidaySheet&amp;"[Holiday]"),MATCH($F374,INDIRECT("HolTbl"&amp;HolidaySheet&amp;"[Date]"),0)),$G$10))</f>
        <v>Weekend</v>
      </c>
    </row>
    <row r="375" spans="6:8" ht="15.75" thickBot="1" x14ac:dyDescent="0.3">
      <c r="F375" s="57">
        <f t="shared" si="5"/>
        <v>45291</v>
      </c>
      <c r="G375" s="25" cm="1">
        <f t="array" aca="1" ref="G375" ca="1">GetBusinessDate($F375,BusinessDayConv,IF(ISBLANK(HolidaySheet),HolidaySheet,INDIRECT("HolTbl"&amp;HolidaySheet&amp;"[Date]")))</f>
        <v>45289</v>
      </c>
      <c r="H375" s="58" t="str">
        <f ca="1">IF(OR(WEEKDAY($F375)=1,WEEKDAY($F375)=7),"Weekend",IFERROR(INDEX(INDIRECT("HolTbl"&amp;HolidaySheet&amp;"[Holiday]"),MATCH($F375,INDIRECT("HolTbl"&amp;HolidaySheet&amp;"[Date]"),0)),$G$10))</f>
        <v>Weekend</v>
      </c>
    </row>
  </sheetData>
  <mergeCells count="2">
    <mergeCell ref="B2:M2"/>
    <mergeCell ref="Q2:R2"/>
  </mergeCells>
  <conditionalFormatting sqref="M11:M50">
    <cfRule type="expression" dxfId="3" priority="2">
      <formula>AND($M11&lt;&gt;"Weekend",$M11&lt;&gt;$L$10)</formula>
    </cfRule>
  </conditionalFormatting>
  <conditionalFormatting sqref="L11:M50">
    <cfRule type="expression" dxfId="2" priority="10">
      <formula>$K11&lt;&gt;$L11</formula>
    </cfRule>
  </conditionalFormatting>
  <conditionalFormatting sqref="G11:H375">
    <cfRule type="expression" dxfId="1" priority="7">
      <formula>$F11&lt;&gt;$G11</formula>
    </cfRule>
  </conditionalFormatting>
  <conditionalFormatting sqref="H11:H375">
    <cfRule type="expression" dxfId="0" priority="1">
      <formula>AND($H11&lt;&gt;"Weekend",$H11&lt;&gt;$G$10)</formula>
    </cfRule>
  </conditionalFormatting>
  <dataValidations count="2">
    <dataValidation type="list" allowBlank="1" showInputMessage="1" showErrorMessage="1" sqref="K7 G7" xr:uid="{E5AB98C0-813D-49B8-B37D-89CAEA2D4318}">
      <formula1>HolScheduleSheets</formula1>
    </dataValidation>
    <dataValidation type="list" allowBlank="1" showInputMessage="1" showErrorMessage="1" sqref="L7 K6 G6" xr:uid="{00000000-0002-0000-0100-000000000000}">
      <formula1>ConventionSymbols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7" r:id="rId4" name="cmdAddHolSheet">
          <controlPr defaultSize="0" autoLine="0" r:id="rId5">
            <anchor moveWithCells="1">
              <from>
                <xdr:col>2</xdr:col>
                <xdr:colOff>76200</xdr:colOff>
                <xdr:row>8</xdr:row>
                <xdr:rowOff>19050</xdr:rowOff>
              </from>
              <to>
                <xdr:col>2</xdr:col>
                <xdr:colOff>1857375</xdr:colOff>
                <xdr:row>10</xdr:row>
                <xdr:rowOff>114300</xdr:rowOff>
              </to>
            </anchor>
          </controlPr>
        </control>
      </mc:Choice>
      <mc:Fallback>
        <control shapeId="4097" r:id="rId4" name="cmdAddHolSheet"/>
      </mc:Fallback>
    </mc:AlternateContent>
  </controls>
  <tableParts count="2">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24A8E-679D-454F-8E11-4F846BD10788}">
  <sheetPr codeName="wsHolidays1"/>
  <dimension ref="A1:M260"/>
  <sheetViews>
    <sheetView showGridLines="0" topLeftCell="B1" zoomScale="90" zoomScaleNormal="90" workbookViewId="0">
      <selection activeCell="C2" sqref="C2"/>
    </sheetView>
  </sheetViews>
  <sheetFormatPr defaultRowHeight="15" x14ac:dyDescent="0.25"/>
  <cols>
    <col min="1" max="1" width="0" hidden="1" customWidth="1"/>
    <col min="3" max="3" width="26.5703125" bestFit="1" customWidth="1"/>
    <col min="4" max="4" width="16.28515625" bestFit="1" customWidth="1"/>
    <col min="5" max="5" width="18.28515625" bestFit="1" customWidth="1"/>
    <col min="6" max="6" width="13.42578125" bestFit="1" customWidth="1"/>
    <col min="7" max="7" width="16.5703125" bestFit="1" customWidth="1"/>
    <col min="8" max="9" width="16.5703125" customWidth="1"/>
    <col min="12" max="12" width="30.42578125" bestFit="1" customWidth="1"/>
    <col min="13" max="13" width="11.5703125" bestFit="1" customWidth="1"/>
  </cols>
  <sheetData>
    <row r="1" spans="1:13" x14ac:dyDescent="0.25">
      <c r="A1" s="35" t="s">
        <v>64</v>
      </c>
    </row>
    <row r="2" spans="1:13" ht="15.75" x14ac:dyDescent="0.25">
      <c r="C2" s="5" t="s">
        <v>9</v>
      </c>
      <c r="L2" s="5" t="s">
        <v>68</v>
      </c>
    </row>
    <row r="4" spans="1:13" x14ac:dyDescent="0.25">
      <c r="C4" s="3" t="s">
        <v>10</v>
      </c>
      <c r="D4" s="3" t="s">
        <v>67</v>
      </c>
      <c r="E4" s="3" t="s">
        <v>69</v>
      </c>
      <c r="F4" s="3" t="s">
        <v>70</v>
      </c>
      <c r="G4" s="3" t="s">
        <v>72</v>
      </c>
      <c r="H4" s="3" t="s">
        <v>71</v>
      </c>
      <c r="I4" s="3" t="s">
        <v>11</v>
      </c>
      <c r="L4" s="1" t="s">
        <v>12</v>
      </c>
      <c r="M4" s="2">
        <v>2043</v>
      </c>
    </row>
    <row r="5" spans="1:13" x14ac:dyDescent="0.25">
      <c r="C5" t="s">
        <v>79</v>
      </c>
      <c r="D5">
        <v>1</v>
      </c>
      <c r="E5" t="s">
        <v>71</v>
      </c>
      <c r="F5" t="s">
        <v>80</v>
      </c>
      <c r="G5" t="s">
        <v>81</v>
      </c>
      <c r="I5" t="s">
        <v>82</v>
      </c>
    </row>
    <row r="6" spans="1:13" x14ac:dyDescent="0.25">
      <c r="C6" t="s">
        <v>83</v>
      </c>
      <c r="D6">
        <v>3</v>
      </c>
      <c r="E6" t="s">
        <v>82</v>
      </c>
      <c r="F6" t="s">
        <v>80</v>
      </c>
      <c r="G6" t="s">
        <v>81</v>
      </c>
    </row>
    <row r="7" spans="1:13" x14ac:dyDescent="0.25">
      <c r="C7" t="s">
        <v>84</v>
      </c>
      <c r="D7">
        <v>3</v>
      </c>
      <c r="E7" t="s">
        <v>82</v>
      </c>
      <c r="F7" t="s">
        <v>80</v>
      </c>
      <c r="G7" t="s">
        <v>85</v>
      </c>
    </row>
    <row r="8" spans="1:13" x14ac:dyDescent="0.25">
      <c r="C8" t="s">
        <v>86</v>
      </c>
      <c r="E8" t="s">
        <v>110</v>
      </c>
      <c r="F8" t="s">
        <v>87</v>
      </c>
      <c r="H8" t="s">
        <v>88</v>
      </c>
      <c r="L8" s="4" t="s">
        <v>10</v>
      </c>
      <c r="M8" s="4" t="s">
        <v>13</v>
      </c>
    </row>
    <row r="9" spans="1:13" x14ac:dyDescent="0.25">
      <c r="C9" t="s">
        <v>89</v>
      </c>
      <c r="D9" t="s">
        <v>90</v>
      </c>
      <c r="E9" t="s">
        <v>82</v>
      </c>
      <c r="F9" t="s">
        <v>80</v>
      </c>
      <c r="G9" t="s">
        <v>91</v>
      </c>
      <c r="L9" t="s">
        <v>79</v>
      </c>
      <c r="M9" s="40">
        <v>44928</v>
      </c>
    </row>
    <row r="10" spans="1:13" x14ac:dyDescent="0.25">
      <c r="C10" t="s">
        <v>92</v>
      </c>
      <c r="D10">
        <v>19</v>
      </c>
      <c r="E10" t="s">
        <v>71</v>
      </c>
      <c r="F10" t="s">
        <v>80</v>
      </c>
      <c r="G10" t="s">
        <v>93</v>
      </c>
      <c r="I10" t="s">
        <v>94</v>
      </c>
      <c r="L10" t="s">
        <v>83</v>
      </c>
      <c r="M10" s="40">
        <v>44942</v>
      </c>
    </row>
    <row r="11" spans="1:13" x14ac:dyDescent="0.25">
      <c r="C11" t="s">
        <v>95</v>
      </c>
      <c r="D11">
        <v>4</v>
      </c>
      <c r="E11" t="s">
        <v>71</v>
      </c>
      <c r="F11" t="s">
        <v>80</v>
      </c>
      <c r="G11" t="s">
        <v>96</v>
      </c>
      <c r="I11" t="s">
        <v>94</v>
      </c>
      <c r="L11" t="s">
        <v>84</v>
      </c>
      <c r="M11" s="40">
        <v>44977</v>
      </c>
    </row>
    <row r="12" spans="1:13" x14ac:dyDescent="0.25">
      <c r="C12" t="s">
        <v>97</v>
      </c>
      <c r="D12">
        <v>1</v>
      </c>
      <c r="E12" t="s">
        <v>82</v>
      </c>
      <c r="F12" t="s">
        <v>80</v>
      </c>
      <c r="G12" t="s">
        <v>98</v>
      </c>
      <c r="L12" t="s">
        <v>86</v>
      </c>
      <c r="M12" s="40">
        <v>45023</v>
      </c>
    </row>
    <row r="13" spans="1:13" x14ac:dyDescent="0.25">
      <c r="C13" t="s">
        <v>99</v>
      </c>
      <c r="D13">
        <v>2</v>
      </c>
      <c r="E13" t="s">
        <v>82</v>
      </c>
      <c r="F13" t="s">
        <v>80</v>
      </c>
      <c r="G13" t="s">
        <v>100</v>
      </c>
      <c r="L13" t="s">
        <v>89</v>
      </c>
      <c r="M13" s="40">
        <v>45075</v>
      </c>
    </row>
    <row r="14" spans="1:13" x14ac:dyDescent="0.25">
      <c r="C14" t="s">
        <v>101</v>
      </c>
      <c r="D14">
        <v>11</v>
      </c>
      <c r="E14" t="s">
        <v>71</v>
      </c>
      <c r="F14" t="s">
        <v>80</v>
      </c>
      <c r="G14" t="s">
        <v>102</v>
      </c>
      <c r="I14" t="s">
        <v>94</v>
      </c>
      <c r="L14" t="s">
        <v>92</v>
      </c>
      <c r="M14" s="40">
        <v>45096</v>
      </c>
    </row>
    <row r="15" spans="1:13" x14ac:dyDescent="0.25">
      <c r="C15" t="s">
        <v>103</v>
      </c>
      <c r="D15">
        <v>4</v>
      </c>
      <c r="E15" t="s">
        <v>104</v>
      </c>
      <c r="F15" t="s">
        <v>80</v>
      </c>
      <c r="G15" t="s">
        <v>102</v>
      </c>
      <c r="L15" t="s">
        <v>95</v>
      </c>
      <c r="M15" s="40">
        <v>45111</v>
      </c>
    </row>
    <row r="16" spans="1:13" x14ac:dyDescent="0.25">
      <c r="C16" t="s">
        <v>105</v>
      </c>
      <c r="D16">
        <v>25</v>
      </c>
      <c r="E16" t="s">
        <v>71</v>
      </c>
      <c r="F16" t="s">
        <v>80</v>
      </c>
      <c r="G16" t="s">
        <v>106</v>
      </c>
      <c r="I16" t="s">
        <v>94</v>
      </c>
      <c r="L16" t="s">
        <v>97</v>
      </c>
      <c r="M16" s="40">
        <v>45173</v>
      </c>
    </row>
    <row r="17" spans="12:13" x14ac:dyDescent="0.25">
      <c r="L17" t="s">
        <v>99</v>
      </c>
      <c r="M17" s="40">
        <v>45208</v>
      </c>
    </row>
    <row r="18" spans="12:13" x14ac:dyDescent="0.25">
      <c r="L18" t="s">
        <v>101</v>
      </c>
      <c r="M18" s="40">
        <v>45240</v>
      </c>
    </row>
    <row r="19" spans="12:13" x14ac:dyDescent="0.25">
      <c r="L19" t="s">
        <v>103</v>
      </c>
      <c r="M19" s="40">
        <v>45253</v>
      </c>
    </row>
    <row r="20" spans="12:13" x14ac:dyDescent="0.25">
      <c r="L20" t="s">
        <v>105</v>
      </c>
      <c r="M20" s="40">
        <v>45285</v>
      </c>
    </row>
    <row r="21" spans="12:13" x14ac:dyDescent="0.25">
      <c r="L21" t="s">
        <v>79</v>
      </c>
      <c r="M21" s="40">
        <v>45292</v>
      </c>
    </row>
    <row r="22" spans="12:13" x14ac:dyDescent="0.25">
      <c r="L22" t="s">
        <v>83</v>
      </c>
      <c r="M22" s="40">
        <v>45306</v>
      </c>
    </row>
    <row r="23" spans="12:13" x14ac:dyDescent="0.25">
      <c r="L23" t="s">
        <v>84</v>
      </c>
      <c r="M23" s="40">
        <v>45341</v>
      </c>
    </row>
    <row r="24" spans="12:13" x14ac:dyDescent="0.25">
      <c r="L24" t="s">
        <v>86</v>
      </c>
      <c r="M24" s="40">
        <v>45380</v>
      </c>
    </row>
    <row r="25" spans="12:13" x14ac:dyDescent="0.25">
      <c r="L25" t="s">
        <v>89</v>
      </c>
      <c r="M25" s="40">
        <v>45439</v>
      </c>
    </row>
    <row r="26" spans="12:13" x14ac:dyDescent="0.25">
      <c r="L26" t="s">
        <v>92</v>
      </c>
      <c r="M26" s="40">
        <v>45462</v>
      </c>
    </row>
    <row r="27" spans="12:13" x14ac:dyDescent="0.25">
      <c r="L27" t="s">
        <v>95</v>
      </c>
      <c r="M27" s="40">
        <v>45477</v>
      </c>
    </row>
    <row r="28" spans="12:13" x14ac:dyDescent="0.25">
      <c r="L28" t="s">
        <v>97</v>
      </c>
      <c r="M28" s="40">
        <v>45537</v>
      </c>
    </row>
    <row r="29" spans="12:13" x14ac:dyDescent="0.25">
      <c r="L29" t="s">
        <v>99</v>
      </c>
      <c r="M29" s="40">
        <v>45579</v>
      </c>
    </row>
    <row r="30" spans="12:13" x14ac:dyDescent="0.25">
      <c r="L30" t="s">
        <v>101</v>
      </c>
      <c r="M30" s="40">
        <v>45607</v>
      </c>
    </row>
    <row r="31" spans="12:13" x14ac:dyDescent="0.25">
      <c r="L31" t="s">
        <v>103</v>
      </c>
      <c r="M31" s="40">
        <v>45624</v>
      </c>
    </row>
    <row r="32" spans="12:13" x14ac:dyDescent="0.25">
      <c r="L32" t="s">
        <v>105</v>
      </c>
      <c r="M32" s="40">
        <v>45651</v>
      </c>
    </row>
    <row r="33" spans="12:13" x14ac:dyDescent="0.25">
      <c r="L33" t="s">
        <v>79</v>
      </c>
      <c r="M33" s="40">
        <v>45658</v>
      </c>
    </row>
    <row r="34" spans="12:13" x14ac:dyDescent="0.25">
      <c r="L34" t="s">
        <v>83</v>
      </c>
      <c r="M34" s="40">
        <v>45677</v>
      </c>
    </row>
    <row r="35" spans="12:13" x14ac:dyDescent="0.25">
      <c r="L35" t="s">
        <v>84</v>
      </c>
      <c r="M35" s="40">
        <v>45705</v>
      </c>
    </row>
    <row r="36" spans="12:13" x14ac:dyDescent="0.25">
      <c r="L36" t="s">
        <v>86</v>
      </c>
      <c r="M36" s="40">
        <v>45765</v>
      </c>
    </row>
    <row r="37" spans="12:13" x14ac:dyDescent="0.25">
      <c r="L37" t="s">
        <v>89</v>
      </c>
      <c r="M37" s="40">
        <v>45803</v>
      </c>
    </row>
    <row r="38" spans="12:13" x14ac:dyDescent="0.25">
      <c r="L38" t="s">
        <v>92</v>
      </c>
      <c r="M38" s="40">
        <v>45827</v>
      </c>
    </row>
    <row r="39" spans="12:13" x14ac:dyDescent="0.25">
      <c r="L39" t="s">
        <v>95</v>
      </c>
      <c r="M39" s="40">
        <v>45842</v>
      </c>
    </row>
    <row r="40" spans="12:13" x14ac:dyDescent="0.25">
      <c r="L40" t="s">
        <v>97</v>
      </c>
      <c r="M40" s="40">
        <v>45901</v>
      </c>
    </row>
    <row r="41" spans="12:13" x14ac:dyDescent="0.25">
      <c r="L41" t="s">
        <v>99</v>
      </c>
      <c r="M41" s="40">
        <v>45943</v>
      </c>
    </row>
    <row r="42" spans="12:13" x14ac:dyDescent="0.25">
      <c r="L42" t="s">
        <v>101</v>
      </c>
      <c r="M42" s="40">
        <v>45972</v>
      </c>
    </row>
    <row r="43" spans="12:13" x14ac:dyDescent="0.25">
      <c r="L43" t="s">
        <v>103</v>
      </c>
      <c r="M43" s="40">
        <v>45988</v>
      </c>
    </row>
    <row r="44" spans="12:13" x14ac:dyDescent="0.25">
      <c r="L44" t="s">
        <v>105</v>
      </c>
      <c r="M44" s="40">
        <v>46016</v>
      </c>
    </row>
    <row r="45" spans="12:13" x14ac:dyDescent="0.25">
      <c r="L45" t="s">
        <v>79</v>
      </c>
      <c r="M45" s="40">
        <v>46023</v>
      </c>
    </row>
    <row r="46" spans="12:13" x14ac:dyDescent="0.25">
      <c r="L46" t="s">
        <v>83</v>
      </c>
      <c r="M46" s="40">
        <v>46041</v>
      </c>
    </row>
    <row r="47" spans="12:13" x14ac:dyDescent="0.25">
      <c r="L47" t="s">
        <v>84</v>
      </c>
      <c r="M47" s="40">
        <v>46069</v>
      </c>
    </row>
    <row r="48" spans="12:13" x14ac:dyDescent="0.25">
      <c r="L48" t="s">
        <v>86</v>
      </c>
      <c r="M48" s="40">
        <v>46115</v>
      </c>
    </row>
    <row r="49" spans="12:13" x14ac:dyDescent="0.25">
      <c r="L49" t="s">
        <v>89</v>
      </c>
      <c r="M49" s="40">
        <v>46167</v>
      </c>
    </row>
    <row r="50" spans="12:13" x14ac:dyDescent="0.25">
      <c r="L50" t="s">
        <v>92</v>
      </c>
      <c r="M50" s="40">
        <v>46192</v>
      </c>
    </row>
    <row r="51" spans="12:13" x14ac:dyDescent="0.25">
      <c r="L51" t="s">
        <v>95</v>
      </c>
      <c r="M51" s="40">
        <v>46206</v>
      </c>
    </row>
    <row r="52" spans="12:13" x14ac:dyDescent="0.25">
      <c r="L52" t="s">
        <v>97</v>
      </c>
      <c r="M52" s="40">
        <v>46272</v>
      </c>
    </row>
    <row r="53" spans="12:13" x14ac:dyDescent="0.25">
      <c r="L53" t="s">
        <v>99</v>
      </c>
      <c r="M53" s="40">
        <v>46307</v>
      </c>
    </row>
    <row r="54" spans="12:13" x14ac:dyDescent="0.25">
      <c r="L54" t="s">
        <v>101</v>
      </c>
      <c r="M54" s="40">
        <v>46337</v>
      </c>
    </row>
    <row r="55" spans="12:13" x14ac:dyDescent="0.25">
      <c r="L55" t="s">
        <v>103</v>
      </c>
      <c r="M55" s="40">
        <v>46352</v>
      </c>
    </row>
    <row r="56" spans="12:13" x14ac:dyDescent="0.25">
      <c r="L56" t="s">
        <v>105</v>
      </c>
      <c r="M56" s="40">
        <v>46381</v>
      </c>
    </row>
    <row r="57" spans="12:13" x14ac:dyDescent="0.25">
      <c r="L57" t="s">
        <v>79</v>
      </c>
      <c r="M57" s="40">
        <v>46388</v>
      </c>
    </row>
    <row r="58" spans="12:13" x14ac:dyDescent="0.25">
      <c r="L58" t="s">
        <v>83</v>
      </c>
      <c r="M58" s="40">
        <v>46405</v>
      </c>
    </row>
    <row r="59" spans="12:13" x14ac:dyDescent="0.25">
      <c r="L59" t="s">
        <v>84</v>
      </c>
      <c r="M59" s="40">
        <v>46433</v>
      </c>
    </row>
    <row r="60" spans="12:13" x14ac:dyDescent="0.25">
      <c r="L60" t="s">
        <v>86</v>
      </c>
      <c r="M60" s="40">
        <v>46472</v>
      </c>
    </row>
    <row r="61" spans="12:13" x14ac:dyDescent="0.25">
      <c r="L61" t="s">
        <v>89</v>
      </c>
      <c r="M61" s="40">
        <v>46538</v>
      </c>
    </row>
    <row r="62" spans="12:13" x14ac:dyDescent="0.25">
      <c r="L62" t="s">
        <v>92</v>
      </c>
      <c r="M62" s="40">
        <v>46556</v>
      </c>
    </row>
    <row r="63" spans="12:13" x14ac:dyDescent="0.25">
      <c r="L63" t="s">
        <v>95</v>
      </c>
      <c r="M63" s="40">
        <v>46573</v>
      </c>
    </row>
    <row r="64" spans="12:13" x14ac:dyDescent="0.25">
      <c r="L64" t="s">
        <v>97</v>
      </c>
      <c r="M64" s="40">
        <v>46636</v>
      </c>
    </row>
    <row r="65" spans="12:13" x14ac:dyDescent="0.25">
      <c r="L65" t="s">
        <v>99</v>
      </c>
      <c r="M65" s="40">
        <v>46671</v>
      </c>
    </row>
    <row r="66" spans="12:13" x14ac:dyDescent="0.25">
      <c r="L66" t="s">
        <v>101</v>
      </c>
      <c r="M66" s="40">
        <v>46702</v>
      </c>
    </row>
    <row r="67" spans="12:13" x14ac:dyDescent="0.25">
      <c r="L67" t="s">
        <v>103</v>
      </c>
      <c r="M67" s="40">
        <v>46716</v>
      </c>
    </row>
    <row r="68" spans="12:13" x14ac:dyDescent="0.25">
      <c r="L68" t="s">
        <v>105</v>
      </c>
      <c r="M68" s="40">
        <v>46745</v>
      </c>
    </row>
    <row r="69" spans="12:13" x14ac:dyDescent="0.25">
      <c r="L69" t="s">
        <v>79</v>
      </c>
      <c r="M69" s="40">
        <v>46755</v>
      </c>
    </row>
    <row r="70" spans="12:13" x14ac:dyDescent="0.25">
      <c r="L70" t="s">
        <v>83</v>
      </c>
      <c r="M70" s="40">
        <v>46769</v>
      </c>
    </row>
    <row r="71" spans="12:13" x14ac:dyDescent="0.25">
      <c r="L71" t="s">
        <v>84</v>
      </c>
      <c r="M71" s="40">
        <v>46804</v>
      </c>
    </row>
    <row r="72" spans="12:13" x14ac:dyDescent="0.25">
      <c r="L72" t="s">
        <v>86</v>
      </c>
      <c r="M72" s="40">
        <v>46857</v>
      </c>
    </row>
    <row r="73" spans="12:13" x14ac:dyDescent="0.25">
      <c r="L73" t="s">
        <v>89</v>
      </c>
      <c r="M73" s="40">
        <v>46902</v>
      </c>
    </row>
    <row r="74" spans="12:13" x14ac:dyDescent="0.25">
      <c r="L74" t="s">
        <v>92</v>
      </c>
      <c r="M74" s="40">
        <v>46923</v>
      </c>
    </row>
    <row r="75" spans="12:13" x14ac:dyDescent="0.25">
      <c r="L75" t="s">
        <v>95</v>
      </c>
      <c r="M75" s="40">
        <v>46938</v>
      </c>
    </row>
    <row r="76" spans="12:13" x14ac:dyDescent="0.25">
      <c r="L76" t="s">
        <v>97</v>
      </c>
      <c r="M76" s="40">
        <v>47000</v>
      </c>
    </row>
    <row r="77" spans="12:13" x14ac:dyDescent="0.25">
      <c r="L77" t="s">
        <v>99</v>
      </c>
      <c r="M77" s="40">
        <v>47035</v>
      </c>
    </row>
    <row r="78" spans="12:13" x14ac:dyDescent="0.25">
      <c r="L78" t="s">
        <v>101</v>
      </c>
      <c r="M78" s="40">
        <v>47067</v>
      </c>
    </row>
    <row r="79" spans="12:13" x14ac:dyDescent="0.25">
      <c r="L79" t="s">
        <v>103</v>
      </c>
      <c r="M79" s="40">
        <v>47080</v>
      </c>
    </row>
    <row r="80" spans="12:13" x14ac:dyDescent="0.25">
      <c r="L80" t="s">
        <v>105</v>
      </c>
      <c r="M80" s="40">
        <v>47112</v>
      </c>
    </row>
    <row r="81" spans="12:13" x14ac:dyDescent="0.25">
      <c r="L81" t="s">
        <v>79</v>
      </c>
      <c r="M81" s="40">
        <v>47119</v>
      </c>
    </row>
    <row r="82" spans="12:13" x14ac:dyDescent="0.25">
      <c r="L82" t="s">
        <v>83</v>
      </c>
      <c r="M82" s="40">
        <v>47133</v>
      </c>
    </row>
    <row r="83" spans="12:13" x14ac:dyDescent="0.25">
      <c r="L83" t="s">
        <v>84</v>
      </c>
      <c r="M83" s="40">
        <v>47168</v>
      </c>
    </row>
    <row r="84" spans="12:13" x14ac:dyDescent="0.25">
      <c r="L84" t="s">
        <v>86</v>
      </c>
      <c r="M84" s="40">
        <v>47207</v>
      </c>
    </row>
    <row r="85" spans="12:13" x14ac:dyDescent="0.25">
      <c r="L85" t="s">
        <v>89</v>
      </c>
      <c r="M85" s="40">
        <v>47266</v>
      </c>
    </row>
    <row r="86" spans="12:13" x14ac:dyDescent="0.25">
      <c r="L86" t="s">
        <v>92</v>
      </c>
      <c r="M86" s="40">
        <v>47288</v>
      </c>
    </row>
    <row r="87" spans="12:13" x14ac:dyDescent="0.25">
      <c r="L87" t="s">
        <v>95</v>
      </c>
      <c r="M87" s="40">
        <v>47303</v>
      </c>
    </row>
    <row r="88" spans="12:13" x14ac:dyDescent="0.25">
      <c r="L88" t="s">
        <v>97</v>
      </c>
      <c r="M88" s="40">
        <v>47364</v>
      </c>
    </row>
    <row r="89" spans="12:13" x14ac:dyDescent="0.25">
      <c r="L89" t="s">
        <v>99</v>
      </c>
      <c r="M89" s="40">
        <v>47399</v>
      </c>
    </row>
    <row r="90" spans="12:13" x14ac:dyDescent="0.25">
      <c r="L90" t="s">
        <v>101</v>
      </c>
      <c r="M90" s="40">
        <v>47434</v>
      </c>
    </row>
    <row r="91" spans="12:13" x14ac:dyDescent="0.25">
      <c r="L91" t="s">
        <v>103</v>
      </c>
      <c r="M91" s="40">
        <v>47444</v>
      </c>
    </row>
    <row r="92" spans="12:13" x14ac:dyDescent="0.25">
      <c r="L92" t="s">
        <v>105</v>
      </c>
      <c r="M92" s="40">
        <v>47477</v>
      </c>
    </row>
    <row r="93" spans="12:13" x14ac:dyDescent="0.25">
      <c r="L93" t="s">
        <v>79</v>
      </c>
      <c r="M93" s="40">
        <v>47484</v>
      </c>
    </row>
    <row r="94" spans="12:13" x14ac:dyDescent="0.25">
      <c r="L94" t="s">
        <v>83</v>
      </c>
      <c r="M94" s="40">
        <v>47504</v>
      </c>
    </row>
    <row r="95" spans="12:13" x14ac:dyDescent="0.25">
      <c r="L95" t="s">
        <v>84</v>
      </c>
      <c r="M95" s="40">
        <v>47532</v>
      </c>
    </row>
    <row r="96" spans="12:13" x14ac:dyDescent="0.25">
      <c r="L96" t="s">
        <v>86</v>
      </c>
      <c r="M96" s="40">
        <v>47592</v>
      </c>
    </row>
    <row r="97" spans="12:13" x14ac:dyDescent="0.25">
      <c r="L97" t="s">
        <v>89</v>
      </c>
      <c r="M97" s="40">
        <v>47630</v>
      </c>
    </row>
    <row r="98" spans="12:13" x14ac:dyDescent="0.25">
      <c r="L98" t="s">
        <v>92</v>
      </c>
      <c r="M98" s="40">
        <v>47653</v>
      </c>
    </row>
    <row r="99" spans="12:13" x14ac:dyDescent="0.25">
      <c r="L99" t="s">
        <v>95</v>
      </c>
      <c r="M99" s="40">
        <v>47668</v>
      </c>
    </row>
    <row r="100" spans="12:13" x14ac:dyDescent="0.25">
      <c r="L100" t="s">
        <v>97</v>
      </c>
      <c r="M100" s="40">
        <v>47728</v>
      </c>
    </row>
    <row r="101" spans="12:13" x14ac:dyDescent="0.25">
      <c r="L101" t="s">
        <v>99</v>
      </c>
      <c r="M101" s="40">
        <v>47770</v>
      </c>
    </row>
    <row r="102" spans="12:13" x14ac:dyDescent="0.25">
      <c r="L102" t="s">
        <v>101</v>
      </c>
      <c r="M102" s="40">
        <v>47798</v>
      </c>
    </row>
    <row r="103" spans="12:13" x14ac:dyDescent="0.25">
      <c r="L103" t="s">
        <v>103</v>
      </c>
      <c r="M103" s="40">
        <v>47815</v>
      </c>
    </row>
    <row r="104" spans="12:13" x14ac:dyDescent="0.25">
      <c r="L104" t="s">
        <v>105</v>
      </c>
      <c r="M104" s="40">
        <v>47842</v>
      </c>
    </row>
    <row r="105" spans="12:13" x14ac:dyDescent="0.25">
      <c r="L105" t="s">
        <v>79</v>
      </c>
      <c r="M105" s="40">
        <v>47849</v>
      </c>
    </row>
    <row r="106" spans="12:13" x14ac:dyDescent="0.25">
      <c r="L106" t="s">
        <v>83</v>
      </c>
      <c r="M106" s="40">
        <v>47868</v>
      </c>
    </row>
    <row r="107" spans="12:13" x14ac:dyDescent="0.25">
      <c r="L107" t="s">
        <v>84</v>
      </c>
      <c r="M107" s="40">
        <v>47896</v>
      </c>
    </row>
    <row r="108" spans="12:13" x14ac:dyDescent="0.25">
      <c r="L108" t="s">
        <v>86</v>
      </c>
      <c r="M108" s="40">
        <v>47949</v>
      </c>
    </row>
    <row r="109" spans="12:13" x14ac:dyDescent="0.25">
      <c r="L109" t="s">
        <v>89</v>
      </c>
      <c r="M109" s="40">
        <v>47994</v>
      </c>
    </row>
    <row r="110" spans="12:13" x14ac:dyDescent="0.25">
      <c r="L110" t="s">
        <v>92</v>
      </c>
      <c r="M110" s="40">
        <v>48018</v>
      </c>
    </row>
    <row r="111" spans="12:13" x14ac:dyDescent="0.25">
      <c r="L111" t="s">
        <v>95</v>
      </c>
      <c r="M111" s="40">
        <v>48033</v>
      </c>
    </row>
    <row r="112" spans="12:13" x14ac:dyDescent="0.25">
      <c r="L112" t="s">
        <v>97</v>
      </c>
      <c r="M112" s="40">
        <v>48092</v>
      </c>
    </row>
    <row r="113" spans="12:13" x14ac:dyDescent="0.25">
      <c r="L113" t="s">
        <v>99</v>
      </c>
      <c r="M113" s="40">
        <v>48134</v>
      </c>
    </row>
    <row r="114" spans="12:13" x14ac:dyDescent="0.25">
      <c r="L114" t="s">
        <v>101</v>
      </c>
      <c r="M114" s="40">
        <v>48163</v>
      </c>
    </row>
    <row r="115" spans="12:13" x14ac:dyDescent="0.25">
      <c r="L115" t="s">
        <v>103</v>
      </c>
      <c r="M115" s="40">
        <v>48179</v>
      </c>
    </row>
    <row r="116" spans="12:13" x14ac:dyDescent="0.25">
      <c r="L116" t="s">
        <v>105</v>
      </c>
      <c r="M116" s="40">
        <v>48207</v>
      </c>
    </row>
    <row r="117" spans="12:13" x14ac:dyDescent="0.25">
      <c r="L117" t="s">
        <v>79</v>
      </c>
      <c r="M117" s="40">
        <v>48214</v>
      </c>
    </row>
    <row r="118" spans="12:13" x14ac:dyDescent="0.25">
      <c r="L118" t="s">
        <v>83</v>
      </c>
      <c r="M118" s="40">
        <v>48232</v>
      </c>
    </row>
    <row r="119" spans="12:13" x14ac:dyDescent="0.25">
      <c r="L119" t="s">
        <v>84</v>
      </c>
      <c r="M119" s="40">
        <v>48260</v>
      </c>
    </row>
    <row r="120" spans="12:13" x14ac:dyDescent="0.25">
      <c r="L120" t="s">
        <v>86</v>
      </c>
      <c r="M120" s="40">
        <v>48299</v>
      </c>
    </row>
    <row r="121" spans="12:13" x14ac:dyDescent="0.25">
      <c r="L121" t="s">
        <v>89</v>
      </c>
      <c r="M121" s="40">
        <v>48365</v>
      </c>
    </row>
    <row r="122" spans="12:13" x14ac:dyDescent="0.25">
      <c r="L122" t="s">
        <v>92</v>
      </c>
      <c r="M122" s="40">
        <v>48383</v>
      </c>
    </row>
    <row r="123" spans="12:13" x14ac:dyDescent="0.25">
      <c r="L123" t="s">
        <v>95</v>
      </c>
      <c r="M123" s="40">
        <v>48400</v>
      </c>
    </row>
    <row r="124" spans="12:13" x14ac:dyDescent="0.25">
      <c r="L124" t="s">
        <v>97</v>
      </c>
      <c r="M124" s="40">
        <v>48463</v>
      </c>
    </row>
    <row r="125" spans="12:13" x14ac:dyDescent="0.25">
      <c r="L125" t="s">
        <v>99</v>
      </c>
      <c r="M125" s="40">
        <v>48498</v>
      </c>
    </row>
    <row r="126" spans="12:13" x14ac:dyDescent="0.25">
      <c r="L126" t="s">
        <v>101</v>
      </c>
      <c r="M126" s="40">
        <v>48529</v>
      </c>
    </row>
    <row r="127" spans="12:13" x14ac:dyDescent="0.25">
      <c r="L127" t="s">
        <v>103</v>
      </c>
      <c r="M127" s="40">
        <v>48543</v>
      </c>
    </row>
    <row r="128" spans="12:13" x14ac:dyDescent="0.25">
      <c r="L128" t="s">
        <v>105</v>
      </c>
      <c r="M128" s="40">
        <v>48572</v>
      </c>
    </row>
    <row r="129" spans="12:13" x14ac:dyDescent="0.25">
      <c r="L129" t="s">
        <v>79</v>
      </c>
      <c r="M129" s="40">
        <v>48582</v>
      </c>
    </row>
    <row r="130" spans="12:13" x14ac:dyDescent="0.25">
      <c r="L130" t="s">
        <v>83</v>
      </c>
      <c r="M130" s="40">
        <v>48596</v>
      </c>
    </row>
    <row r="131" spans="12:13" x14ac:dyDescent="0.25">
      <c r="L131" t="s">
        <v>84</v>
      </c>
      <c r="M131" s="40">
        <v>48631</v>
      </c>
    </row>
    <row r="132" spans="12:13" x14ac:dyDescent="0.25">
      <c r="L132" t="s">
        <v>86</v>
      </c>
      <c r="M132" s="40">
        <v>48684</v>
      </c>
    </row>
    <row r="133" spans="12:13" x14ac:dyDescent="0.25">
      <c r="L133" t="s">
        <v>89</v>
      </c>
      <c r="M133" s="40">
        <v>48729</v>
      </c>
    </row>
    <row r="134" spans="12:13" x14ac:dyDescent="0.25">
      <c r="L134" t="s">
        <v>92</v>
      </c>
      <c r="M134" s="40">
        <v>48750</v>
      </c>
    </row>
    <row r="135" spans="12:13" x14ac:dyDescent="0.25">
      <c r="L135" t="s">
        <v>95</v>
      </c>
      <c r="M135" s="40">
        <v>48764</v>
      </c>
    </row>
    <row r="136" spans="12:13" x14ac:dyDescent="0.25">
      <c r="L136" t="s">
        <v>97</v>
      </c>
      <c r="M136" s="40">
        <v>48827</v>
      </c>
    </row>
    <row r="137" spans="12:13" x14ac:dyDescent="0.25">
      <c r="L137" t="s">
        <v>99</v>
      </c>
      <c r="M137" s="40">
        <v>48862</v>
      </c>
    </row>
    <row r="138" spans="12:13" x14ac:dyDescent="0.25">
      <c r="L138" t="s">
        <v>101</v>
      </c>
      <c r="M138" s="40">
        <v>48894</v>
      </c>
    </row>
    <row r="139" spans="12:13" x14ac:dyDescent="0.25">
      <c r="L139" t="s">
        <v>103</v>
      </c>
      <c r="M139" s="40">
        <v>48907</v>
      </c>
    </row>
    <row r="140" spans="12:13" x14ac:dyDescent="0.25">
      <c r="L140" t="s">
        <v>105</v>
      </c>
      <c r="M140" s="40">
        <v>48939</v>
      </c>
    </row>
    <row r="141" spans="12:13" x14ac:dyDescent="0.25">
      <c r="L141" t="s">
        <v>79</v>
      </c>
      <c r="M141" s="40">
        <v>48946</v>
      </c>
    </row>
    <row r="142" spans="12:13" x14ac:dyDescent="0.25">
      <c r="L142" t="s">
        <v>83</v>
      </c>
      <c r="M142" s="40">
        <v>48960</v>
      </c>
    </row>
    <row r="143" spans="12:13" x14ac:dyDescent="0.25">
      <c r="L143" t="s">
        <v>84</v>
      </c>
      <c r="M143" s="40">
        <v>48995</v>
      </c>
    </row>
    <row r="144" spans="12:13" x14ac:dyDescent="0.25">
      <c r="L144" t="s">
        <v>86</v>
      </c>
      <c r="M144" s="40">
        <v>49041</v>
      </c>
    </row>
    <row r="145" spans="12:13" x14ac:dyDescent="0.25">
      <c r="L145" t="s">
        <v>89</v>
      </c>
      <c r="M145" s="40">
        <v>49093</v>
      </c>
    </row>
    <row r="146" spans="12:13" x14ac:dyDescent="0.25">
      <c r="L146" t="s">
        <v>92</v>
      </c>
      <c r="M146" s="40">
        <v>49114</v>
      </c>
    </row>
    <row r="147" spans="12:13" x14ac:dyDescent="0.25">
      <c r="L147" t="s">
        <v>95</v>
      </c>
      <c r="M147" s="40">
        <v>49129</v>
      </c>
    </row>
    <row r="148" spans="12:13" x14ac:dyDescent="0.25">
      <c r="L148" t="s">
        <v>97</v>
      </c>
      <c r="M148" s="40">
        <v>49191</v>
      </c>
    </row>
    <row r="149" spans="12:13" x14ac:dyDescent="0.25">
      <c r="L149" t="s">
        <v>99</v>
      </c>
      <c r="M149" s="40">
        <v>49226</v>
      </c>
    </row>
    <row r="150" spans="12:13" x14ac:dyDescent="0.25">
      <c r="L150" t="s">
        <v>101</v>
      </c>
      <c r="M150" s="40">
        <v>49258</v>
      </c>
    </row>
    <row r="151" spans="12:13" x14ac:dyDescent="0.25">
      <c r="L151" t="s">
        <v>103</v>
      </c>
      <c r="M151" s="40">
        <v>49271</v>
      </c>
    </row>
    <row r="152" spans="12:13" x14ac:dyDescent="0.25">
      <c r="L152" t="s">
        <v>105</v>
      </c>
      <c r="M152" s="40">
        <v>49303</v>
      </c>
    </row>
    <row r="153" spans="12:13" x14ac:dyDescent="0.25">
      <c r="L153" t="s">
        <v>79</v>
      </c>
      <c r="M153" s="40">
        <v>49310</v>
      </c>
    </row>
    <row r="154" spans="12:13" x14ac:dyDescent="0.25">
      <c r="L154" t="s">
        <v>83</v>
      </c>
      <c r="M154" s="40">
        <v>49324</v>
      </c>
    </row>
    <row r="155" spans="12:13" x14ac:dyDescent="0.25">
      <c r="L155" t="s">
        <v>84</v>
      </c>
      <c r="M155" s="40">
        <v>49359</v>
      </c>
    </row>
    <row r="156" spans="12:13" x14ac:dyDescent="0.25">
      <c r="L156" t="s">
        <v>86</v>
      </c>
      <c r="M156" s="40">
        <v>49391</v>
      </c>
    </row>
    <row r="157" spans="12:13" x14ac:dyDescent="0.25">
      <c r="L157" t="s">
        <v>89</v>
      </c>
      <c r="M157" s="40">
        <v>49457</v>
      </c>
    </row>
    <row r="158" spans="12:13" x14ac:dyDescent="0.25">
      <c r="L158" t="s">
        <v>92</v>
      </c>
      <c r="M158" s="40">
        <v>49479</v>
      </c>
    </row>
    <row r="159" spans="12:13" x14ac:dyDescent="0.25">
      <c r="L159" t="s">
        <v>95</v>
      </c>
      <c r="M159" s="40">
        <v>49494</v>
      </c>
    </row>
    <row r="160" spans="12:13" x14ac:dyDescent="0.25">
      <c r="L160" t="s">
        <v>97</v>
      </c>
      <c r="M160" s="40">
        <v>49555</v>
      </c>
    </row>
    <row r="161" spans="12:13" x14ac:dyDescent="0.25">
      <c r="L161" t="s">
        <v>99</v>
      </c>
      <c r="M161" s="40">
        <v>49590</v>
      </c>
    </row>
    <row r="162" spans="12:13" x14ac:dyDescent="0.25">
      <c r="L162" t="s">
        <v>101</v>
      </c>
      <c r="M162" s="40">
        <v>49625</v>
      </c>
    </row>
    <row r="163" spans="12:13" x14ac:dyDescent="0.25">
      <c r="L163" t="s">
        <v>103</v>
      </c>
      <c r="M163" s="40">
        <v>49635</v>
      </c>
    </row>
    <row r="164" spans="12:13" x14ac:dyDescent="0.25">
      <c r="L164" t="s">
        <v>105</v>
      </c>
      <c r="M164" s="40">
        <v>49668</v>
      </c>
    </row>
    <row r="165" spans="12:13" x14ac:dyDescent="0.25">
      <c r="L165" t="s">
        <v>79</v>
      </c>
      <c r="M165" s="40">
        <v>49675</v>
      </c>
    </row>
    <row r="166" spans="12:13" x14ac:dyDescent="0.25">
      <c r="L166" t="s">
        <v>83</v>
      </c>
      <c r="M166" s="40">
        <v>49695</v>
      </c>
    </row>
    <row r="167" spans="12:13" x14ac:dyDescent="0.25">
      <c r="L167" t="s">
        <v>84</v>
      </c>
      <c r="M167" s="40">
        <v>49723</v>
      </c>
    </row>
    <row r="168" spans="12:13" x14ac:dyDescent="0.25">
      <c r="L168" t="s">
        <v>86</v>
      </c>
      <c r="M168" s="40">
        <v>49776</v>
      </c>
    </row>
    <row r="169" spans="12:13" x14ac:dyDescent="0.25">
      <c r="L169" t="s">
        <v>89</v>
      </c>
      <c r="M169" s="40">
        <v>49821</v>
      </c>
    </row>
    <row r="170" spans="12:13" x14ac:dyDescent="0.25">
      <c r="L170" t="s">
        <v>92</v>
      </c>
      <c r="M170" s="40">
        <v>49845</v>
      </c>
    </row>
    <row r="171" spans="12:13" x14ac:dyDescent="0.25">
      <c r="L171" t="s">
        <v>95</v>
      </c>
      <c r="M171" s="40">
        <v>49860</v>
      </c>
    </row>
    <row r="172" spans="12:13" x14ac:dyDescent="0.25">
      <c r="L172" t="s">
        <v>97</v>
      </c>
      <c r="M172" s="40">
        <v>49919</v>
      </c>
    </row>
    <row r="173" spans="12:13" x14ac:dyDescent="0.25">
      <c r="L173" t="s">
        <v>99</v>
      </c>
      <c r="M173" s="40">
        <v>49961</v>
      </c>
    </row>
    <row r="174" spans="12:13" x14ac:dyDescent="0.25">
      <c r="L174" t="s">
        <v>101</v>
      </c>
      <c r="M174" s="40">
        <v>49990</v>
      </c>
    </row>
    <row r="175" spans="12:13" x14ac:dyDescent="0.25">
      <c r="L175" t="s">
        <v>103</v>
      </c>
      <c r="M175" s="40">
        <v>50006</v>
      </c>
    </row>
    <row r="176" spans="12:13" x14ac:dyDescent="0.25">
      <c r="L176" t="s">
        <v>105</v>
      </c>
      <c r="M176" s="40">
        <v>50034</v>
      </c>
    </row>
    <row r="177" spans="12:13" x14ac:dyDescent="0.25">
      <c r="L177" t="s">
        <v>79</v>
      </c>
      <c r="M177" s="40">
        <v>50041</v>
      </c>
    </row>
    <row r="178" spans="12:13" x14ac:dyDescent="0.25">
      <c r="L178" t="s">
        <v>83</v>
      </c>
      <c r="M178" s="40">
        <v>50059</v>
      </c>
    </row>
    <row r="179" spans="12:13" x14ac:dyDescent="0.25">
      <c r="L179" t="s">
        <v>84</v>
      </c>
      <c r="M179" s="40">
        <v>50087</v>
      </c>
    </row>
    <row r="180" spans="12:13" x14ac:dyDescent="0.25">
      <c r="L180" t="s">
        <v>86</v>
      </c>
      <c r="M180" s="40">
        <v>50133</v>
      </c>
    </row>
    <row r="181" spans="12:13" x14ac:dyDescent="0.25">
      <c r="L181" t="s">
        <v>89</v>
      </c>
      <c r="M181" s="40">
        <v>50185</v>
      </c>
    </row>
    <row r="182" spans="12:13" x14ac:dyDescent="0.25">
      <c r="L182" t="s">
        <v>92</v>
      </c>
      <c r="M182" s="40">
        <v>50210</v>
      </c>
    </row>
    <row r="183" spans="12:13" x14ac:dyDescent="0.25">
      <c r="L183" t="s">
        <v>95</v>
      </c>
      <c r="M183" s="40">
        <v>50224</v>
      </c>
    </row>
    <row r="184" spans="12:13" x14ac:dyDescent="0.25">
      <c r="L184" t="s">
        <v>97</v>
      </c>
      <c r="M184" s="40">
        <v>50290</v>
      </c>
    </row>
    <row r="185" spans="12:13" x14ac:dyDescent="0.25">
      <c r="L185" t="s">
        <v>99</v>
      </c>
      <c r="M185" s="40">
        <v>50325</v>
      </c>
    </row>
    <row r="186" spans="12:13" x14ac:dyDescent="0.25">
      <c r="L186" t="s">
        <v>101</v>
      </c>
      <c r="M186" s="40">
        <v>50355</v>
      </c>
    </row>
    <row r="187" spans="12:13" x14ac:dyDescent="0.25">
      <c r="L187" t="s">
        <v>103</v>
      </c>
      <c r="M187" s="40">
        <v>50370</v>
      </c>
    </row>
    <row r="188" spans="12:13" x14ac:dyDescent="0.25">
      <c r="L188" t="s">
        <v>105</v>
      </c>
      <c r="M188" s="40">
        <v>50399</v>
      </c>
    </row>
    <row r="189" spans="12:13" x14ac:dyDescent="0.25">
      <c r="L189" t="s">
        <v>79</v>
      </c>
      <c r="M189" s="40">
        <v>50406</v>
      </c>
    </row>
    <row r="190" spans="12:13" x14ac:dyDescent="0.25">
      <c r="L190" t="s">
        <v>83</v>
      </c>
      <c r="M190" s="40">
        <v>50423</v>
      </c>
    </row>
    <row r="191" spans="12:13" x14ac:dyDescent="0.25">
      <c r="L191" t="s">
        <v>84</v>
      </c>
      <c r="M191" s="40">
        <v>50451</v>
      </c>
    </row>
    <row r="192" spans="12:13" x14ac:dyDescent="0.25">
      <c r="L192" t="s">
        <v>86</v>
      </c>
      <c r="M192" s="40">
        <v>50518</v>
      </c>
    </row>
    <row r="193" spans="12:13" x14ac:dyDescent="0.25">
      <c r="L193" t="s">
        <v>89</v>
      </c>
      <c r="M193" s="40">
        <v>50556</v>
      </c>
    </row>
    <row r="194" spans="12:13" x14ac:dyDescent="0.25">
      <c r="L194" t="s">
        <v>92</v>
      </c>
      <c r="M194" s="40">
        <v>50574</v>
      </c>
    </row>
    <row r="195" spans="12:13" x14ac:dyDescent="0.25">
      <c r="L195" t="s">
        <v>95</v>
      </c>
      <c r="M195" s="40">
        <v>50591</v>
      </c>
    </row>
    <row r="196" spans="12:13" x14ac:dyDescent="0.25">
      <c r="L196" t="s">
        <v>97</v>
      </c>
      <c r="M196" s="40">
        <v>50654</v>
      </c>
    </row>
    <row r="197" spans="12:13" x14ac:dyDescent="0.25">
      <c r="L197" t="s">
        <v>99</v>
      </c>
      <c r="M197" s="40">
        <v>50689</v>
      </c>
    </row>
    <row r="198" spans="12:13" x14ac:dyDescent="0.25">
      <c r="L198" t="s">
        <v>101</v>
      </c>
      <c r="M198" s="40">
        <v>50720</v>
      </c>
    </row>
    <row r="199" spans="12:13" x14ac:dyDescent="0.25">
      <c r="L199" t="s">
        <v>103</v>
      </c>
      <c r="M199" s="40">
        <v>50734</v>
      </c>
    </row>
    <row r="200" spans="12:13" x14ac:dyDescent="0.25">
      <c r="L200" t="s">
        <v>105</v>
      </c>
      <c r="M200" s="40">
        <v>50763</v>
      </c>
    </row>
    <row r="201" spans="12:13" x14ac:dyDescent="0.25">
      <c r="L201" t="s">
        <v>79</v>
      </c>
      <c r="M201" s="40">
        <v>50773</v>
      </c>
    </row>
    <row r="202" spans="12:13" x14ac:dyDescent="0.25">
      <c r="L202" t="s">
        <v>83</v>
      </c>
      <c r="M202" s="40">
        <v>50787</v>
      </c>
    </row>
    <row r="203" spans="12:13" x14ac:dyDescent="0.25">
      <c r="L203" t="s">
        <v>84</v>
      </c>
      <c r="M203" s="40">
        <v>50822</v>
      </c>
    </row>
    <row r="204" spans="12:13" x14ac:dyDescent="0.25">
      <c r="L204" t="s">
        <v>86</v>
      </c>
      <c r="M204" s="40">
        <v>50868</v>
      </c>
    </row>
    <row r="205" spans="12:13" x14ac:dyDescent="0.25">
      <c r="L205" t="s">
        <v>89</v>
      </c>
      <c r="M205" s="40">
        <v>50920</v>
      </c>
    </row>
    <row r="206" spans="12:13" x14ac:dyDescent="0.25">
      <c r="L206" t="s">
        <v>92</v>
      </c>
      <c r="M206" s="40">
        <v>50941</v>
      </c>
    </row>
    <row r="207" spans="12:13" x14ac:dyDescent="0.25">
      <c r="L207" t="s">
        <v>95</v>
      </c>
      <c r="M207" s="40">
        <v>50955</v>
      </c>
    </row>
    <row r="208" spans="12:13" x14ac:dyDescent="0.25">
      <c r="L208" t="s">
        <v>97</v>
      </c>
      <c r="M208" s="40">
        <v>51018</v>
      </c>
    </row>
    <row r="209" spans="12:13" x14ac:dyDescent="0.25">
      <c r="L209" t="s">
        <v>99</v>
      </c>
      <c r="M209" s="40">
        <v>51053</v>
      </c>
    </row>
    <row r="210" spans="12:13" x14ac:dyDescent="0.25">
      <c r="L210" t="s">
        <v>101</v>
      </c>
      <c r="M210" s="40">
        <v>51085</v>
      </c>
    </row>
    <row r="211" spans="12:13" x14ac:dyDescent="0.25">
      <c r="L211" t="s">
        <v>103</v>
      </c>
      <c r="M211" s="40">
        <v>51098</v>
      </c>
    </row>
    <row r="212" spans="12:13" x14ac:dyDescent="0.25">
      <c r="L212" t="s">
        <v>105</v>
      </c>
      <c r="M212" s="40">
        <v>51130</v>
      </c>
    </row>
    <row r="213" spans="12:13" x14ac:dyDescent="0.25">
      <c r="L213" t="s">
        <v>79</v>
      </c>
      <c r="M213" s="40">
        <v>51137</v>
      </c>
    </row>
    <row r="214" spans="12:13" x14ac:dyDescent="0.25">
      <c r="L214" t="s">
        <v>83</v>
      </c>
      <c r="M214" s="40">
        <v>51151</v>
      </c>
    </row>
    <row r="215" spans="12:13" x14ac:dyDescent="0.25">
      <c r="L215" t="s">
        <v>84</v>
      </c>
      <c r="M215" s="40">
        <v>51186</v>
      </c>
    </row>
    <row r="216" spans="12:13" x14ac:dyDescent="0.25">
      <c r="L216" t="s">
        <v>86</v>
      </c>
      <c r="M216" s="40">
        <v>51225</v>
      </c>
    </row>
    <row r="217" spans="12:13" x14ac:dyDescent="0.25">
      <c r="L217" t="s">
        <v>89</v>
      </c>
      <c r="M217" s="40">
        <v>51284</v>
      </c>
    </row>
    <row r="218" spans="12:13" x14ac:dyDescent="0.25">
      <c r="L218" t="s">
        <v>92</v>
      </c>
      <c r="M218" s="40">
        <v>51306</v>
      </c>
    </row>
    <row r="219" spans="12:13" x14ac:dyDescent="0.25">
      <c r="L219" t="s">
        <v>95</v>
      </c>
      <c r="M219" s="40">
        <v>51321</v>
      </c>
    </row>
    <row r="220" spans="12:13" x14ac:dyDescent="0.25">
      <c r="L220" t="s">
        <v>97</v>
      </c>
      <c r="M220" s="40">
        <v>51382</v>
      </c>
    </row>
    <row r="221" spans="12:13" x14ac:dyDescent="0.25">
      <c r="L221" t="s">
        <v>99</v>
      </c>
      <c r="M221" s="40">
        <v>51417</v>
      </c>
    </row>
    <row r="222" spans="12:13" x14ac:dyDescent="0.25">
      <c r="L222" t="s">
        <v>101</v>
      </c>
      <c r="M222" s="40">
        <v>51452</v>
      </c>
    </row>
    <row r="223" spans="12:13" x14ac:dyDescent="0.25">
      <c r="L223" t="s">
        <v>103</v>
      </c>
      <c r="M223" s="40">
        <v>51462</v>
      </c>
    </row>
    <row r="224" spans="12:13" x14ac:dyDescent="0.25">
      <c r="L224" t="s">
        <v>105</v>
      </c>
      <c r="M224" s="40">
        <v>51495</v>
      </c>
    </row>
    <row r="225" spans="12:13" x14ac:dyDescent="0.25">
      <c r="L225" t="s">
        <v>79</v>
      </c>
      <c r="M225" s="40">
        <v>51502</v>
      </c>
    </row>
    <row r="226" spans="12:13" x14ac:dyDescent="0.25">
      <c r="L226" t="s">
        <v>83</v>
      </c>
      <c r="M226" s="40">
        <v>51522</v>
      </c>
    </row>
    <row r="227" spans="12:13" x14ac:dyDescent="0.25">
      <c r="L227" t="s">
        <v>84</v>
      </c>
      <c r="M227" s="40">
        <v>51550</v>
      </c>
    </row>
    <row r="228" spans="12:13" x14ac:dyDescent="0.25">
      <c r="L228" t="s">
        <v>86</v>
      </c>
      <c r="M228" s="40">
        <v>51610</v>
      </c>
    </row>
    <row r="229" spans="12:13" x14ac:dyDescent="0.25">
      <c r="L229" t="s">
        <v>89</v>
      </c>
      <c r="M229" s="40">
        <v>51648</v>
      </c>
    </row>
    <row r="230" spans="12:13" x14ac:dyDescent="0.25">
      <c r="L230" t="s">
        <v>92</v>
      </c>
      <c r="M230" s="40">
        <v>51671</v>
      </c>
    </row>
    <row r="231" spans="12:13" x14ac:dyDescent="0.25">
      <c r="L231" t="s">
        <v>95</v>
      </c>
      <c r="M231" s="40">
        <v>51686</v>
      </c>
    </row>
    <row r="232" spans="12:13" x14ac:dyDescent="0.25">
      <c r="L232" t="s">
        <v>97</v>
      </c>
      <c r="M232" s="40">
        <v>51746</v>
      </c>
    </row>
    <row r="233" spans="12:13" x14ac:dyDescent="0.25">
      <c r="L233" t="s">
        <v>99</v>
      </c>
      <c r="M233" s="40">
        <v>51788</v>
      </c>
    </row>
    <row r="234" spans="12:13" x14ac:dyDescent="0.25">
      <c r="L234" t="s">
        <v>101</v>
      </c>
      <c r="M234" s="40">
        <v>51816</v>
      </c>
    </row>
    <row r="235" spans="12:13" x14ac:dyDescent="0.25">
      <c r="L235" t="s">
        <v>103</v>
      </c>
      <c r="M235" s="40">
        <v>51833</v>
      </c>
    </row>
    <row r="236" spans="12:13" x14ac:dyDescent="0.25">
      <c r="L236" t="s">
        <v>105</v>
      </c>
      <c r="M236" s="40">
        <v>51860</v>
      </c>
    </row>
    <row r="237" spans="12:13" x14ac:dyDescent="0.25">
      <c r="L237" t="s">
        <v>79</v>
      </c>
      <c r="M237" s="40">
        <v>51867</v>
      </c>
    </row>
    <row r="238" spans="12:13" x14ac:dyDescent="0.25">
      <c r="L238" t="s">
        <v>83</v>
      </c>
      <c r="M238" s="40">
        <v>51886</v>
      </c>
    </row>
    <row r="239" spans="12:13" x14ac:dyDescent="0.25">
      <c r="L239" t="s">
        <v>84</v>
      </c>
      <c r="M239" s="40">
        <v>51914</v>
      </c>
    </row>
    <row r="240" spans="12:13" x14ac:dyDescent="0.25">
      <c r="L240" t="s">
        <v>86</v>
      </c>
      <c r="M240" s="40">
        <v>51960</v>
      </c>
    </row>
    <row r="241" spans="12:13" x14ac:dyDescent="0.25">
      <c r="L241" t="s">
        <v>89</v>
      </c>
      <c r="M241" s="40">
        <v>52012</v>
      </c>
    </row>
    <row r="242" spans="12:13" x14ac:dyDescent="0.25">
      <c r="L242" t="s">
        <v>92</v>
      </c>
      <c r="M242" s="40">
        <v>52036</v>
      </c>
    </row>
    <row r="243" spans="12:13" x14ac:dyDescent="0.25">
      <c r="L243" t="s">
        <v>95</v>
      </c>
      <c r="M243" s="40">
        <v>52051</v>
      </c>
    </row>
    <row r="244" spans="12:13" x14ac:dyDescent="0.25">
      <c r="L244" t="s">
        <v>97</v>
      </c>
      <c r="M244" s="40">
        <v>52110</v>
      </c>
    </row>
    <row r="245" spans="12:13" x14ac:dyDescent="0.25">
      <c r="L245" t="s">
        <v>99</v>
      </c>
      <c r="M245" s="40">
        <v>52152</v>
      </c>
    </row>
    <row r="246" spans="12:13" x14ac:dyDescent="0.25">
      <c r="L246" t="s">
        <v>101</v>
      </c>
      <c r="M246" s="40">
        <v>52181</v>
      </c>
    </row>
    <row r="247" spans="12:13" x14ac:dyDescent="0.25">
      <c r="L247" t="s">
        <v>103</v>
      </c>
      <c r="M247" s="40">
        <v>52197</v>
      </c>
    </row>
    <row r="248" spans="12:13" x14ac:dyDescent="0.25">
      <c r="L248" t="s">
        <v>105</v>
      </c>
      <c r="M248" s="40">
        <v>52225</v>
      </c>
    </row>
    <row r="249" spans="12:13" x14ac:dyDescent="0.25">
      <c r="L249" t="s">
        <v>79</v>
      </c>
      <c r="M249" s="40">
        <v>52232</v>
      </c>
    </row>
    <row r="250" spans="12:13" x14ac:dyDescent="0.25">
      <c r="L250" t="s">
        <v>83</v>
      </c>
      <c r="M250" s="40">
        <v>52250</v>
      </c>
    </row>
    <row r="251" spans="12:13" x14ac:dyDescent="0.25">
      <c r="L251" t="s">
        <v>84</v>
      </c>
      <c r="M251" s="40">
        <v>52278</v>
      </c>
    </row>
    <row r="252" spans="12:13" x14ac:dyDescent="0.25">
      <c r="L252" t="s">
        <v>86</v>
      </c>
      <c r="M252" s="40">
        <v>52317</v>
      </c>
    </row>
    <row r="253" spans="12:13" x14ac:dyDescent="0.25">
      <c r="L253" t="s">
        <v>89</v>
      </c>
      <c r="M253" s="40">
        <v>52376</v>
      </c>
    </row>
    <row r="254" spans="12:13" x14ac:dyDescent="0.25">
      <c r="L254" t="s">
        <v>92</v>
      </c>
      <c r="M254" s="40">
        <v>52401</v>
      </c>
    </row>
    <row r="255" spans="12:13" x14ac:dyDescent="0.25">
      <c r="L255" t="s">
        <v>95</v>
      </c>
      <c r="M255" s="40">
        <v>52415</v>
      </c>
    </row>
    <row r="256" spans="12:13" x14ac:dyDescent="0.25">
      <c r="L256" t="s">
        <v>97</v>
      </c>
      <c r="M256" s="40">
        <v>52481</v>
      </c>
    </row>
    <row r="257" spans="12:13" x14ac:dyDescent="0.25">
      <c r="L257" t="s">
        <v>99</v>
      </c>
      <c r="M257" s="40">
        <v>52516</v>
      </c>
    </row>
    <row r="258" spans="12:13" x14ac:dyDescent="0.25">
      <c r="L258" t="s">
        <v>101</v>
      </c>
      <c r="M258" s="40">
        <v>52546</v>
      </c>
    </row>
    <row r="259" spans="12:13" x14ac:dyDescent="0.25">
      <c r="L259" t="s">
        <v>103</v>
      </c>
      <c r="M259" s="40">
        <v>52561</v>
      </c>
    </row>
    <row r="260" spans="12:13" x14ac:dyDescent="0.25">
      <c r="L260" t="s">
        <v>105</v>
      </c>
      <c r="M260" s="40">
        <v>52590</v>
      </c>
    </row>
  </sheetData>
  <sortState xmlns:xlrd2="http://schemas.microsoft.com/office/spreadsheetml/2017/richdata2" ref="L9:M260">
    <sortCondition ref="M8"/>
  </sortState>
  <pageMargins left="0.7" right="0.7" top="0.75" bottom="0.75" header="0.3" footer="0.3"/>
  <pageSetup orientation="portrait" r:id="rId1"/>
  <drawing r:id="rId2"/>
  <legacyDrawing r:id="rId3"/>
  <controls>
    <mc:AlternateContent xmlns:mc="http://schemas.openxmlformats.org/markup-compatibility/2006">
      <mc:Choice Requires="x14">
        <control shapeId="7170" r:id="rId4" name="cmdLoadDefs">
          <controlPr defaultSize="0" autoLine="0" r:id="rId5">
            <anchor moveWithCells="1">
              <from>
                <xdr:col>3</xdr:col>
                <xdr:colOff>304800</xdr:colOff>
                <xdr:row>0</xdr:row>
                <xdr:rowOff>133350</xdr:rowOff>
              </from>
              <to>
                <xdr:col>4</xdr:col>
                <xdr:colOff>904875</xdr:colOff>
                <xdr:row>2</xdr:row>
                <xdr:rowOff>66675</xdr:rowOff>
              </to>
            </anchor>
          </controlPr>
        </control>
      </mc:Choice>
      <mc:Fallback>
        <control shapeId="7170" r:id="rId4" name="cmdLoadDefs"/>
      </mc:Fallback>
    </mc:AlternateContent>
    <mc:AlternateContent xmlns:mc="http://schemas.openxmlformats.org/markup-compatibility/2006">
      <mc:Choice Requires="x14">
        <control shapeId="7169" r:id="rId6" name="cmdCalc">
          <controlPr defaultSize="0" autoLine="0" r:id="rId7">
            <anchor moveWithCells="1">
              <from>
                <xdr:col>11</xdr:col>
                <xdr:colOff>400050</xdr:colOff>
                <xdr:row>4</xdr:row>
                <xdr:rowOff>123825</xdr:rowOff>
              </from>
              <to>
                <xdr:col>12</xdr:col>
                <xdr:colOff>57150</xdr:colOff>
                <xdr:row>6</xdr:row>
                <xdr:rowOff>66675</xdr:rowOff>
              </to>
            </anchor>
          </controlPr>
        </control>
      </mc:Choice>
      <mc:Fallback>
        <control shapeId="7169" r:id="rId6" name="cmdCalc"/>
      </mc:Fallback>
    </mc:AlternateContent>
  </controls>
  <tableParts count="1">
    <tablePart r:id="rId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3FB45-B14F-4FBB-91E3-8BFBF576F077}">
  <sheetPr codeName="wsEaster"/>
  <dimension ref="B2:E7"/>
  <sheetViews>
    <sheetView workbookViewId="0">
      <selection activeCell="E2" sqref="E2"/>
    </sheetView>
  </sheetViews>
  <sheetFormatPr defaultRowHeight="15" x14ac:dyDescent="0.25"/>
  <cols>
    <col min="3" max="3" width="15.42578125" customWidth="1"/>
  </cols>
  <sheetData>
    <row r="2" spans="2:5" x14ac:dyDescent="0.25">
      <c r="B2" t="s">
        <v>111</v>
      </c>
      <c r="C2" t="s">
        <v>88</v>
      </c>
      <c r="E2" s="43" t="s">
        <v>114</v>
      </c>
    </row>
    <row r="3" spans="2:5" x14ac:dyDescent="0.25">
      <c r="B3">
        <v>2021</v>
      </c>
      <c r="C3" s="40">
        <v>44290</v>
      </c>
      <c r="E3" s="43" t="s">
        <v>115</v>
      </c>
    </row>
    <row r="4" spans="2:5" x14ac:dyDescent="0.25">
      <c r="B4">
        <v>2022</v>
      </c>
      <c r="C4" s="40">
        <v>44668</v>
      </c>
    </row>
    <row r="5" spans="2:5" x14ac:dyDescent="0.25">
      <c r="B5">
        <v>2023</v>
      </c>
      <c r="C5" s="40">
        <v>45044</v>
      </c>
    </row>
    <row r="6" spans="2:5" x14ac:dyDescent="0.25">
      <c r="B6">
        <v>2024</v>
      </c>
      <c r="C6" s="40">
        <v>45382</v>
      </c>
    </row>
    <row r="7" spans="2:5" x14ac:dyDescent="0.25">
      <c r="B7">
        <v>2025</v>
      </c>
      <c r="C7" s="40">
        <v>45767</v>
      </c>
    </row>
  </sheetData>
  <sortState xmlns:xlrd2="http://schemas.microsoft.com/office/spreadsheetml/2017/richdata2" ref="B3:C7">
    <sortCondition ref="B3"/>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sHolidays"/>
  <dimension ref="A1:M8"/>
  <sheetViews>
    <sheetView showGridLines="0" topLeftCell="B1" zoomScale="90" zoomScaleNormal="90" workbookViewId="0">
      <selection activeCell="C4" sqref="C4"/>
    </sheetView>
  </sheetViews>
  <sheetFormatPr defaultRowHeight="15" x14ac:dyDescent="0.25"/>
  <cols>
    <col min="1" max="1" width="0" hidden="1" customWidth="1"/>
    <col min="3" max="3" width="26.5703125" bestFit="1" customWidth="1"/>
    <col min="4" max="4" width="16.28515625" bestFit="1" customWidth="1"/>
    <col min="5" max="5" width="18.28515625" bestFit="1" customWidth="1"/>
    <col min="6" max="6" width="13.42578125" bestFit="1" customWidth="1"/>
    <col min="7" max="7" width="16.5703125" bestFit="1" customWidth="1"/>
    <col min="8" max="9" width="16.5703125" customWidth="1"/>
    <col min="12" max="12" width="28.42578125" bestFit="1" customWidth="1"/>
  </cols>
  <sheetData>
    <row r="1" spans="1:13" x14ac:dyDescent="0.25">
      <c r="A1" s="35" t="s">
        <v>64</v>
      </c>
    </row>
    <row r="2" spans="1:13" ht="15.75" x14ac:dyDescent="0.25">
      <c r="C2" s="5" t="s">
        <v>9</v>
      </c>
      <c r="L2" s="5" t="s">
        <v>68</v>
      </c>
    </row>
    <row r="4" spans="1:13" x14ac:dyDescent="0.25">
      <c r="C4" s="3" t="s">
        <v>10</v>
      </c>
      <c r="D4" s="3" t="s">
        <v>67</v>
      </c>
      <c r="E4" s="3" t="s">
        <v>69</v>
      </c>
      <c r="F4" s="3" t="s">
        <v>70</v>
      </c>
      <c r="G4" s="3" t="s">
        <v>72</v>
      </c>
      <c r="H4" s="3" t="s">
        <v>71</v>
      </c>
      <c r="I4" s="3" t="s">
        <v>11</v>
      </c>
      <c r="L4" s="1" t="s">
        <v>12</v>
      </c>
      <c r="M4" s="2"/>
    </row>
    <row r="8" spans="1:13" x14ac:dyDescent="0.25">
      <c r="L8" s="4" t="s">
        <v>10</v>
      </c>
      <c r="M8" s="4" t="s">
        <v>13</v>
      </c>
    </row>
  </sheetData>
  <pageMargins left="0.7" right="0.7" top="0.75" bottom="0.75" header="0.3" footer="0.3"/>
  <pageSetup orientation="portrait" r:id="rId1"/>
  <drawing r:id="rId2"/>
  <legacyDrawing r:id="rId3"/>
  <controls>
    <mc:AlternateContent xmlns:mc="http://schemas.openxmlformats.org/markup-compatibility/2006">
      <mc:Choice Requires="x14">
        <control shapeId="5121" r:id="rId4" name="cmdCalc">
          <controlPr defaultSize="0" autoLine="0" r:id="rId5">
            <anchor moveWithCells="1">
              <from>
                <xdr:col>11</xdr:col>
                <xdr:colOff>400050</xdr:colOff>
                <xdr:row>4</xdr:row>
                <xdr:rowOff>123825</xdr:rowOff>
              </from>
              <to>
                <xdr:col>12</xdr:col>
                <xdr:colOff>190500</xdr:colOff>
                <xdr:row>6</xdr:row>
                <xdr:rowOff>66675</xdr:rowOff>
              </to>
            </anchor>
          </controlPr>
        </control>
      </mc:Choice>
      <mc:Fallback>
        <control shapeId="5121" r:id="rId4" name="cmdCalc"/>
      </mc:Fallback>
    </mc:AlternateContent>
    <mc:AlternateContent xmlns:mc="http://schemas.openxmlformats.org/markup-compatibility/2006">
      <mc:Choice Requires="x14">
        <control shapeId="5122" r:id="rId6" name="cmdLoadDefs">
          <controlPr defaultSize="0" autoLine="0" r:id="rId7">
            <anchor moveWithCells="1">
              <from>
                <xdr:col>3</xdr:col>
                <xdr:colOff>304800</xdr:colOff>
                <xdr:row>0</xdr:row>
                <xdr:rowOff>133350</xdr:rowOff>
              </from>
              <to>
                <xdr:col>4</xdr:col>
                <xdr:colOff>904875</xdr:colOff>
                <xdr:row>2</xdr:row>
                <xdr:rowOff>66675</xdr:rowOff>
              </to>
            </anchor>
          </controlPr>
        </control>
      </mc:Choice>
      <mc:Fallback>
        <control shapeId="5122" r:id="rId6" name="cmdLoadDefs"/>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About</vt:lpstr>
      <vt:lpstr>Main</vt:lpstr>
      <vt:lpstr>US</vt:lpstr>
      <vt:lpstr>Easter Sundays</vt:lpstr>
      <vt:lpstr>Holidays</vt:lpstr>
      <vt:lpstr>BusinessDayConv</vt:lpstr>
      <vt:lpstr>BusinessDayConv2</vt:lpstr>
      <vt:lpstr>Main!ConventionSymbols</vt:lpstr>
      <vt:lpstr>DateCalcYear</vt:lpstr>
      <vt:lpstr>Holidays!HolidayCalStart</vt:lpstr>
      <vt:lpstr>US!HolidayCalStart</vt:lpstr>
      <vt:lpstr>Holidays!HolidayDefStart</vt:lpstr>
      <vt:lpstr>US!HolidayDefStart</vt:lpstr>
      <vt:lpstr>HolidaySheet</vt:lpstr>
      <vt:lpstr>HolidaySheet2</vt:lpstr>
      <vt:lpstr>HolidaySheetStatus</vt:lpstr>
      <vt:lpstr>US!HolScheduleSheets</vt:lpstr>
      <vt:lpstr>HolScheduleSheets</vt:lpstr>
      <vt:lpstr>Holidays!MaxHolidayYear</vt:lpstr>
      <vt:lpstr>US!MaxHolidayYear</vt:lpstr>
      <vt:lpstr>RefDate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dc:creator>
  <cp:lastModifiedBy>jeff argue</cp:lastModifiedBy>
  <dcterms:created xsi:type="dcterms:W3CDTF">2015-01-20T14:38:38Z</dcterms:created>
  <dcterms:modified xsi:type="dcterms:W3CDTF">2023-12-06T18:08:17Z</dcterms:modified>
</cp:coreProperties>
</file>